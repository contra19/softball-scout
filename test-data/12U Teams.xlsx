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ll" sheetId="1" r:id="rId5"/>
    <sheet state="visible" name="Fall &amp; Spring" sheetId="2" r:id="rId6"/>
  </sheets>
  <definedNames/>
  <calcPr/>
</workbook>
</file>

<file path=xl/sharedStrings.xml><?xml version="1.0" encoding="utf-8"?>
<sst xmlns="http://schemas.openxmlformats.org/spreadsheetml/2006/main" count="699" uniqueCount="345">
  <si>
    <r>
      <rPr>
        <rFont val="Arial"/>
        <b/>
        <color theme="1"/>
        <sz val="8.0"/>
      </rPr>
      <t>TEAM NAME:</t>
    </r>
    <r>
      <rPr>
        <rFont val="Arial"/>
        <b val="0"/>
        <color theme="1"/>
        <sz val="8.0"/>
      </rPr>
      <t xml:space="preserve"> PA Chaos 12U Taranto</t>
    </r>
  </si>
  <si>
    <r>
      <rPr>
        <rFont val="Arial"/>
        <b/>
        <color theme="1"/>
        <sz val="8.0"/>
      </rPr>
      <t>LOCATION:</t>
    </r>
    <r>
      <rPr>
        <rFont val="Arial"/>
        <b val="0"/>
        <color theme="1"/>
        <sz val="8.0"/>
      </rPr>
      <t xml:space="preserve"> Garnett Valley, PA</t>
    </r>
  </si>
  <si>
    <t>GAMECHANGER</t>
  </si>
  <si>
    <t>USSSA</t>
  </si>
  <si>
    <t>USA SOFTBALL</t>
  </si>
  <si>
    <r>
      <rPr>
        <rFont val="Arial"/>
        <b/>
        <color theme="1"/>
        <sz val="8.0"/>
      </rPr>
      <t>FALL 2025 RECORD:</t>
    </r>
    <r>
      <rPr>
        <rFont val="Arial"/>
        <b val="0"/>
        <color theme="1"/>
        <sz val="8.0"/>
      </rPr>
      <t xml:space="preserve"> 30-9</t>
    </r>
  </si>
  <si>
    <t>FALL 2025 GAME RESULTS</t>
  </si>
  <si>
    <t>W/L</t>
  </si>
  <si>
    <t>RF</t>
  </si>
  <si>
    <t>RA</t>
  </si>
  <si>
    <t>DIFF</t>
  </si>
  <si>
    <t>PITCHING - FALL 2025</t>
  </si>
  <si>
    <t>BATTING - FALL 2025</t>
  </si>
  <si>
    <t>9/6 vs. NJ Vipers 12U White</t>
  </si>
  <si>
    <t>W</t>
  </si>
  <si>
    <t>#</t>
  </si>
  <si>
    <t>PLAYER</t>
  </si>
  <si>
    <t>APP</t>
  </si>
  <si>
    <t>IP</t>
  </si>
  <si>
    <t>H</t>
  </si>
  <si>
    <t>H/IP</t>
  </si>
  <si>
    <t>R</t>
  </si>
  <si>
    <t>R/IP</t>
  </si>
  <si>
    <t>K</t>
  </si>
  <si>
    <t>K/IP</t>
  </si>
  <si>
    <t>BB</t>
  </si>
  <si>
    <t>BB/IP</t>
  </si>
  <si>
    <t>K:BB</t>
  </si>
  <si>
    <t>HBP</t>
  </si>
  <si>
    <t>P</t>
  </si>
  <si>
    <t>S</t>
  </si>
  <si>
    <t>S%</t>
  </si>
  <si>
    <t>AB</t>
  </si>
  <si>
    <t>RBI</t>
  </si>
  <si>
    <t>SO</t>
  </si>
  <si>
    <t>BA</t>
  </si>
  <si>
    <t>9/6 vs. Pennsbury Gems 11U Black</t>
  </si>
  <si>
    <t>Alexis Taranto</t>
  </si>
  <si>
    <t>15</t>
  </si>
  <si>
    <t>50.2</t>
  </si>
  <si>
    <t>43</t>
  </si>
  <si>
    <t>0.85</t>
  </si>
  <si>
    <t>30</t>
  </si>
  <si>
    <t>0.59</t>
  </si>
  <si>
    <t>69</t>
  </si>
  <si>
    <t>1.36</t>
  </si>
  <si>
    <t>33</t>
  </si>
  <si>
    <t>0.65</t>
  </si>
  <si>
    <t>2</t>
  </si>
  <si>
    <t>971</t>
  </si>
  <si>
    <t>587</t>
  </si>
  <si>
    <t>23</t>
  </si>
  <si>
    <t>Emma Aacquarola (R)</t>
  </si>
  <si>
    <t>9/14 vs. NJ Gators 12U Costello</t>
  </si>
  <si>
    <t>Bella Geranio</t>
  </si>
  <si>
    <t>16</t>
  </si>
  <si>
    <t>38.1</t>
  </si>
  <si>
    <t>0.86</t>
  </si>
  <si>
    <t>0.42</t>
  </si>
  <si>
    <t>8</t>
  </si>
  <si>
    <t>0.21</t>
  </si>
  <si>
    <t>1</t>
  </si>
  <si>
    <t>586</t>
  </si>
  <si>
    <t>379</t>
  </si>
  <si>
    <t>Zoey Corner (R)</t>
  </si>
  <si>
    <t>L</t>
  </si>
  <si>
    <t>00</t>
  </si>
  <si>
    <t>Addison Pepper</t>
  </si>
  <si>
    <t>14</t>
  </si>
  <si>
    <t>38.0</t>
  </si>
  <si>
    <t>34</t>
  </si>
  <si>
    <t>0.89</t>
  </si>
  <si>
    <t>31</t>
  </si>
  <si>
    <t>0.82</t>
  </si>
  <si>
    <t>45</t>
  </si>
  <si>
    <t>1.18</t>
  </si>
  <si>
    <t>29</t>
  </si>
  <si>
    <t>0.76</t>
  </si>
  <si>
    <t>763</t>
  </si>
  <si>
    <t>441</t>
  </si>
  <si>
    <t>Corinna Sabatino (R)</t>
  </si>
  <si>
    <t>9/21 vs. Harlesyville Raiders 12U</t>
  </si>
  <si>
    <t>Maddie Carhart</t>
  </si>
  <si>
    <t>17</t>
  </si>
  <si>
    <t>34.1</t>
  </si>
  <si>
    <t>27</t>
  </si>
  <si>
    <t>0.79</t>
  </si>
  <si>
    <t>19</t>
  </si>
  <si>
    <t>0.55</t>
  </si>
  <si>
    <t>32</t>
  </si>
  <si>
    <t>0.93</t>
  </si>
  <si>
    <t>7</t>
  </si>
  <si>
    <t>0.20</t>
  </si>
  <si>
    <t>4</t>
  </si>
  <si>
    <t>522</t>
  </si>
  <si>
    <t>326</t>
  </si>
  <si>
    <t>Bella Geranio (R)</t>
  </si>
  <si>
    <t>9/21 vs. Blue Thunder 12U Kapadia</t>
  </si>
  <si>
    <t>Zoey Corner</t>
  </si>
  <si>
    <t>10</t>
  </si>
  <si>
    <t>20.2</t>
  </si>
  <si>
    <t>1.11</t>
  </si>
  <si>
    <t>0.72</t>
  </si>
  <si>
    <t>6</t>
  </si>
  <si>
    <t>0.29</t>
  </si>
  <si>
    <t>0</t>
  </si>
  <si>
    <t>233</t>
  </si>
  <si>
    <t>Sophia Bambi (R)</t>
  </si>
  <si>
    <t>9/21 vs. NW Explosion 12U Garcsar</t>
  </si>
  <si>
    <t>Alexis Taranto (R)</t>
  </si>
  <si>
    <t>9/27 vs. NJ Ruthless 11U</t>
  </si>
  <si>
    <t>Harper Birney (R)</t>
  </si>
  <si>
    <t>9/27 vs. Unity 12U Hsu/Seely</t>
  </si>
  <si>
    <t>Addison Pepper (R)</t>
  </si>
  <si>
    <t>9/27 vs. Mystics 2K14</t>
  </si>
  <si>
    <t>88</t>
  </si>
  <si>
    <t>Chelsea Koch (L)</t>
  </si>
  <si>
    <t>9/28 vs. Unity 12U Negron</t>
  </si>
  <si>
    <t>Maddie Carhart (R)</t>
  </si>
  <si>
    <t>10/4 vs. NJ Gators 12U Costello</t>
  </si>
  <si>
    <t>Brooke Sorochen (L)</t>
  </si>
  <si>
    <t>10/4 vs. Mystics 11U Martin</t>
  </si>
  <si>
    <t>Renata M (guest?)</t>
  </si>
  <si>
    <t>10/4 vs. Raildogs 12U</t>
  </si>
  <si>
    <t>10/5 vs. NJ Fearless 12U Black</t>
  </si>
  <si>
    <t>10/5 vs. NJ Gators 12U Costello</t>
  </si>
  <si>
    <t>10/11 vs. Newtown Rock 12U Marsh</t>
  </si>
  <si>
    <t>10/11 vs. SI Saints 12U TR</t>
  </si>
  <si>
    <t>10/11 vs. Mystics 11U 2K14</t>
  </si>
  <si>
    <t>10/12 vs. Mystics 12U Elite</t>
  </si>
  <si>
    <t>10/12 vs. NJ Heist 12U</t>
  </si>
  <si>
    <t>10/12 vs. Kaboom 12U</t>
  </si>
  <si>
    <t>10/18 vs. Rockets 12U Lyons</t>
  </si>
  <si>
    <t>10/18 vs. Hanover Hornets 12U Christian</t>
  </si>
  <si>
    <t>10/18 vs. Havok 12U Reed</t>
  </si>
  <si>
    <t>10/19 vs. Virginia Legends 12U Dunkum</t>
  </si>
  <si>
    <t>10/19 vs. NJ Gators 12U Costello</t>
  </si>
  <si>
    <t>10/25 vs. RI Thunder Gold 12U CTS</t>
  </si>
  <si>
    <t>10/25 vs. NJ Fearless 12U Black</t>
  </si>
  <si>
    <t>10/25 vs. Empire State Huskies 12U Paterson</t>
  </si>
  <si>
    <t>10/26 vs. Mystics 11U 2K14</t>
  </si>
  <si>
    <t>10/26 vs. Toms River Surf 12U</t>
  </si>
  <si>
    <t>10/26 vs. Stars National 12U Noerr</t>
  </si>
  <si>
    <t>11/1 vs. Loudoun Liberty 12U Signorelli</t>
  </si>
  <si>
    <t>11/1 vs. Carolina Cardinals 12U Chatham</t>
  </si>
  <si>
    <t>11/1 vs. Knockouts Triad 12U</t>
  </si>
  <si>
    <t>11/1 vs. Unity 12U Blasi/Johnson</t>
  </si>
  <si>
    <t>11/2 vs. Team NC Walden 12U</t>
  </si>
  <si>
    <t>11/2 vs. Mojo 12U Campbell</t>
  </si>
  <si>
    <t>TOTALS</t>
  </si>
  <si>
    <r>
      <rPr>
        <rFont val="Arial"/>
        <b/>
        <color theme="1"/>
        <sz val="8.0"/>
      </rPr>
      <t>TEAM NAME:</t>
    </r>
    <r>
      <rPr>
        <rFont val="Arial"/>
        <b val="0"/>
        <color theme="1"/>
        <sz val="8.0"/>
      </rPr>
      <t xml:space="preserve"> PA Chaos 11U Taranto</t>
    </r>
  </si>
  <si>
    <r>
      <rPr>
        <rFont val="Arial"/>
        <b/>
        <color theme="1"/>
        <sz val="8.0"/>
      </rPr>
      <t>GC:</t>
    </r>
    <r>
      <rPr>
        <rFont val="Arial"/>
        <b val="0"/>
        <color theme="1"/>
        <sz val="8.0"/>
      </rPr>
      <t xml:space="preserve"> PA Chaos 11U Taranto</t>
    </r>
  </si>
  <si>
    <r>
      <rPr>
        <rFont val="Arial"/>
        <b/>
        <color theme="1"/>
        <sz val="8.0"/>
      </rPr>
      <t>LOCATION:</t>
    </r>
    <r>
      <rPr>
        <rFont val="Arial"/>
        <b val="0"/>
        <color theme="1"/>
        <sz val="8.0"/>
      </rPr>
      <t xml:space="preserve"> Garnet Valley, PA</t>
    </r>
  </si>
  <si>
    <r>
      <rPr>
        <rFont val="Arial"/>
        <b/>
        <sz val="8.0"/>
      </rPr>
      <t>USSSA PAGE:</t>
    </r>
    <r>
      <rPr>
        <rFont val="Arial"/>
        <b val="0"/>
        <sz val="8.0"/>
      </rPr>
      <t xml:space="preserve"> </t>
    </r>
    <r>
      <rPr>
        <rFont val="Arial"/>
        <b val="0"/>
        <color rgb="FF1155CC"/>
        <sz val="8.0"/>
        <u/>
      </rPr>
      <t>https://usssa.com/fastpitch/teamHome/?teamID=3196245</t>
    </r>
  </si>
  <si>
    <r>
      <rPr>
        <rFont val="Arial"/>
        <b/>
        <color theme="1"/>
        <sz val="8.0"/>
      </rPr>
      <t>SPRING 2025 RECORD:</t>
    </r>
    <r>
      <rPr>
        <rFont val="Arial"/>
        <b val="0"/>
        <color theme="1"/>
        <sz val="8.0"/>
      </rPr>
      <t xml:space="preserve"> 36-15-1</t>
    </r>
  </si>
  <si>
    <t>SPRING 2025 GAME RESULTS</t>
  </si>
  <si>
    <t>PITCHING - SPRING 2025</t>
  </si>
  <si>
    <t>BATTING - SPRING 2025</t>
  </si>
  <si>
    <t>3/30 vs. NJ Gators 12U White</t>
  </si>
  <si>
    <t>Player</t>
  </si>
  <si>
    <t>SO/IP</t>
  </si>
  <si>
    <t>3/30 vs. NJ Gators 12U Grubb</t>
  </si>
  <si>
    <t>22</t>
  </si>
  <si>
    <t>67.1</t>
  </si>
  <si>
    <t>53</t>
  </si>
  <si>
    <t>0.67</t>
  </si>
  <si>
    <t>90</t>
  </si>
  <si>
    <t>1.34</t>
  </si>
  <si>
    <t>49</t>
  </si>
  <si>
    <t>0.73</t>
  </si>
  <si>
    <t>1293</t>
  </si>
  <si>
    <t>745</t>
  </si>
  <si>
    <t>3/30 vs. EOM Angels 12U</t>
  </si>
  <si>
    <t>21</t>
  </si>
  <si>
    <t>48.1</t>
  </si>
  <si>
    <t>38</t>
  </si>
  <si>
    <t>0.43</t>
  </si>
  <si>
    <t>48</t>
  </si>
  <si>
    <t>0.99</t>
  </si>
  <si>
    <t>0.46</t>
  </si>
  <si>
    <t>3</t>
  </si>
  <si>
    <t>489</t>
  </si>
  <si>
    <t>4/13 vs. Delaware Magic 12U Lantagne</t>
  </si>
  <si>
    <t>T</t>
  </si>
  <si>
    <t>McKayla Steele</t>
  </si>
  <si>
    <t>47.0</t>
  </si>
  <si>
    <t>58</t>
  </si>
  <si>
    <t>40</t>
  </si>
  <si>
    <t>55</t>
  </si>
  <si>
    <t>1.17</t>
  </si>
  <si>
    <t>0.70</t>
  </si>
  <si>
    <t>986</t>
  </si>
  <si>
    <t>580</t>
  </si>
  <si>
    <t>4/13 vs. Diamond State Ducks 11U 2013</t>
  </si>
  <si>
    <t>24</t>
  </si>
  <si>
    <t>40.0</t>
  </si>
  <si>
    <t>42</t>
  </si>
  <si>
    <t>36</t>
  </si>
  <si>
    <t>0.90</t>
  </si>
  <si>
    <t>59</t>
  </si>
  <si>
    <t>1.48</t>
  </si>
  <si>
    <t>0.78</t>
  </si>
  <si>
    <t>908</t>
  </si>
  <si>
    <t>533</t>
  </si>
  <si>
    <t>9</t>
  </si>
  <si>
    <t>Rylan Henry</t>
  </si>
  <si>
    <t>4/13 vs. Empire State Huskies 12U Wheatley</t>
  </si>
  <si>
    <t>28.0</t>
  </si>
  <si>
    <t>25</t>
  </si>
  <si>
    <t>2.13</t>
  </si>
  <si>
    <t>41</t>
  </si>
  <si>
    <t>1.46</t>
  </si>
  <si>
    <t>13</t>
  </si>
  <si>
    <t>498</t>
  </si>
  <si>
    <t>302</t>
  </si>
  <si>
    <t>Corinna Sabatino</t>
  </si>
  <si>
    <t>4/26 vs. Abington Wildcats 12U Ploskonka</t>
  </si>
  <si>
    <t>Harper Birney</t>
  </si>
  <si>
    <t>3.1</t>
  </si>
  <si>
    <t>5</t>
  </si>
  <si>
    <t>1.52</t>
  </si>
  <si>
    <t>1.82</t>
  </si>
  <si>
    <t>0.91</t>
  </si>
  <si>
    <t>50</t>
  </si>
  <si>
    <t>Emma Aacquarola</t>
  </si>
  <si>
    <t>4/26 vs. Thunder 2013 Gold Alberti 11U</t>
  </si>
  <si>
    <t>4/26 vs. NJ Pride 12U Keith</t>
  </si>
  <si>
    <t>Maya Frazier</t>
  </si>
  <si>
    <t>4/27 vs. Pegasus 11U Lucci</t>
  </si>
  <si>
    <t>4/27 vs. Monroe Thunder 12U2</t>
  </si>
  <si>
    <t>5/3 vs. McLean Magic 12U Red</t>
  </si>
  <si>
    <t>Alana Kowalski</t>
  </si>
  <si>
    <t>5/3 vs. Delaware Heart 12U</t>
  </si>
  <si>
    <t>5/3 vs. Lady Dukes 12U Lynch</t>
  </si>
  <si>
    <t>5/4 vs. Delaware Magic 12U Johnson</t>
  </si>
  <si>
    <t xml:space="preserve"> </t>
  </si>
  <si>
    <t>5/17 vs. Delaware Heart 12U Red</t>
  </si>
  <si>
    <t>5/17 vs. Front Royal Fire 12U</t>
  </si>
  <si>
    <t>5/17 vs. Rippers 12U Black Spring</t>
  </si>
  <si>
    <t>5/18 vs. Delaware Heart 12U Red</t>
  </si>
  <si>
    <t>5/18 vs. Hanover Hornets 12U 2012</t>
  </si>
  <si>
    <t>5/18 vs. Virginia Valor 12U Lusk</t>
  </si>
  <si>
    <t>5/18 vs. Yellow Jackets 11U Black</t>
  </si>
  <si>
    <t>5/24 vs. NJ Gators 12U White</t>
  </si>
  <si>
    <t>5/24 vs. OC Bombers 12U Black</t>
  </si>
  <si>
    <t>5/24 vs. Northwest Explosion 12U</t>
  </si>
  <si>
    <t>5/25 vs. Pegasus 12U Black</t>
  </si>
  <si>
    <t>5/25 vs. Blue Angels 12U Kriska</t>
  </si>
  <si>
    <t>5/25 vs. Impact Panthers 12U</t>
  </si>
  <si>
    <t>5/26 vs. OC Bombers 12U Select</t>
  </si>
  <si>
    <t>6/7 vs. Blue Thunder 11U Kapadia</t>
  </si>
  <si>
    <t>/67 vs. SJ Gators 12U</t>
  </si>
  <si>
    <t>6/7 vs. Heist 12U</t>
  </si>
  <si>
    <t>6/8 vs. Mystics Fastpitch 12U Dorman</t>
  </si>
  <si>
    <t>6/8 vs. Heist 12U</t>
  </si>
  <si>
    <t>6/14 vs. NJ Cyclones 12U</t>
  </si>
  <si>
    <t>6/14 vs. Langhorne Lightning 12U</t>
  </si>
  <si>
    <t>6/21 vs. Long Island 12U Tierney</t>
  </si>
  <si>
    <t>6/22 vs. Mojo-Campbell 12U</t>
  </si>
  <si>
    <t>6/28 vs. Talleyville Travelers 12U Blue</t>
  </si>
  <si>
    <t>6/28 vs. NJ Thunder 12U 2012 Gold/Hartridge</t>
  </si>
  <si>
    <t>6/28 vs. Delaware Fury 12U Maloney</t>
  </si>
  <si>
    <t>6/29 vs. Talleyville Travelers 12U Blue</t>
  </si>
  <si>
    <t>6/29 vs. Delaware Fury 12U Maloney</t>
  </si>
  <si>
    <t>7/12 vs. Xpress Elite 12U Orange</t>
  </si>
  <si>
    <t>7/16 vs. Glory 12U</t>
  </si>
  <si>
    <t>7/16 vs. Central Jersey Lightning 11U</t>
  </si>
  <si>
    <t>7/17 vs. Blue Angels 11U Pulli</t>
  </si>
  <si>
    <t>7/17 vs. NJ Raiders 11U Casperite</t>
  </si>
  <si>
    <t>7/18 vs. Hearbreakers 11U</t>
  </si>
  <si>
    <t>7/18 vs. Diamond State Ducks 11U 2013</t>
  </si>
  <si>
    <t>7/19 vs. Loudoun Liberty 11U Signorelli</t>
  </si>
  <si>
    <r>
      <rPr>
        <rFont val="Arial"/>
        <b/>
        <color theme="1"/>
        <sz val="8.0"/>
      </rPr>
      <t>FALL 2024 RECORD:</t>
    </r>
    <r>
      <rPr>
        <rFont val="Arial"/>
        <b val="0"/>
        <color theme="1"/>
        <sz val="8.0"/>
      </rPr>
      <t xml:space="preserve"> 18-11</t>
    </r>
  </si>
  <si>
    <t>FALL 2024 GAME RESULTS</t>
  </si>
  <si>
    <t>PITCHING - FALL 2024</t>
  </si>
  <si>
    <t>BATTING - FALL 2024</t>
  </si>
  <si>
    <t>9/8 vs. TE Thunder 12U Blue</t>
  </si>
  <si>
    <t>9/8 vs. Blue Angels 11U Pulli</t>
  </si>
  <si>
    <t>31.1</t>
  </si>
  <si>
    <t>47</t>
  </si>
  <si>
    <t>1.76</t>
  </si>
  <si>
    <t>37</t>
  </si>
  <si>
    <t>614</t>
  </si>
  <si>
    <t>354</t>
  </si>
  <si>
    <t>66</t>
  </si>
  <si>
    <t>9/14 vs. Central Jersey Lightning 11U</t>
  </si>
  <si>
    <t>12</t>
  </si>
  <si>
    <t>25.2</t>
  </si>
  <si>
    <t>0.97</t>
  </si>
  <si>
    <t>39</t>
  </si>
  <si>
    <t>525</t>
  </si>
  <si>
    <t>279</t>
  </si>
  <si>
    <t>20</t>
  </si>
  <si>
    <t>9/14 vs. Westfield Blue Devils 12U</t>
  </si>
  <si>
    <t>24.0</t>
  </si>
  <si>
    <t>1.29</t>
  </si>
  <si>
    <t>11</t>
  </si>
  <si>
    <t>389</t>
  </si>
  <si>
    <t>245</t>
  </si>
  <si>
    <t>63</t>
  </si>
  <si>
    <t>18</t>
  </si>
  <si>
    <t>9/14 vs. NJ Fire 12U</t>
  </si>
  <si>
    <t>23.0</t>
  </si>
  <si>
    <t>1.35</t>
  </si>
  <si>
    <t>430</t>
  </si>
  <si>
    <t>64</t>
  </si>
  <si>
    <t>28</t>
  </si>
  <si>
    <t>9/21 vs. Drexel Hill Demons 12U</t>
  </si>
  <si>
    <t>14.2</t>
  </si>
  <si>
    <t>1.16</t>
  </si>
  <si>
    <t>0.95</t>
  </si>
  <si>
    <t>0.34</t>
  </si>
  <si>
    <t>270</t>
  </si>
  <si>
    <t>175</t>
  </si>
  <si>
    <t>9/21 vs. Diamond State Ducks 11U 2013</t>
  </si>
  <si>
    <t>6.2</t>
  </si>
  <si>
    <t>0.60</t>
  </si>
  <si>
    <t>1.64</t>
  </si>
  <si>
    <t>1.04</t>
  </si>
  <si>
    <t>118</t>
  </si>
  <si>
    <t>9/21 vs. Vanquish 12U Burkholder</t>
  </si>
  <si>
    <t>10/5 vs. Mystics Fastpitch 12U Sprague</t>
  </si>
  <si>
    <t>10/5 vs. NJ Pride 12U Keith</t>
  </si>
  <si>
    <t>54</t>
  </si>
  <si>
    <t>10/5 vs. Jersey Outlaws 12U Elite Shaffer/Vanhorn</t>
  </si>
  <si>
    <t>10/6 vs. NJ Pride 12U Keith</t>
  </si>
  <si>
    <t>Ava C</t>
  </si>
  <si>
    <t>10/9 vs. Blue Angels 12U Kriska</t>
  </si>
  <si>
    <t>Bailey P</t>
  </si>
  <si>
    <t>10/16 vs. Xpress Elite Orange 12U</t>
  </si>
  <si>
    <t>10/19 vs. Empire State Huskies 11U</t>
  </si>
  <si>
    <t>10/19 vs. UP Thunder 12U Black</t>
  </si>
  <si>
    <t>10/19 vs. NJ Heat 12U Carle</t>
  </si>
  <si>
    <t>10/20 vs. Audubon Aces 12U</t>
  </si>
  <si>
    <t>10/20 vs. NJ Unity 12U Marchiano</t>
  </si>
  <si>
    <t>10/26 vs. NJ Unity 12U Negron</t>
  </si>
  <si>
    <t>10/26 vs. Blue Angels 11U Pulli</t>
  </si>
  <si>
    <t>10/26 vs. Blue Thunder 11U Kapadia</t>
  </si>
  <si>
    <t>10/27 vs. Delaware Tribe 11U</t>
  </si>
  <si>
    <t>10/27 vs. Delaware Express 12U</t>
  </si>
  <si>
    <t>11/2 vs. Pegasus 11U Lucci</t>
  </si>
  <si>
    <t>11/2 vs. Xpress Elite 12U Orange</t>
  </si>
  <si>
    <t>11/2 vs. Pocono Pride 12U Red</t>
  </si>
  <si>
    <t>11/3 vs. NJ Cyclones 12U</t>
  </si>
  <si>
    <t>11/3 vs. Vanquish 12U Burkholder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</si>
</sst>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00"/>
  </numFmts>
  <fonts count="8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</font>
    <font>
      <b/>
      <u/>
      <sz val="8.0"/>
      <color rgb="FF1155CC"/>
      <name val="Arial"/>
    </font>
    <font>
      <b/>
      <u/>
      <sz val="8.0"/>
      <color rgb="FF1155CC"/>
      <name val="Arial"/>
    </font>
    <font/>
    <font>
      <sz val="8.0"/>
      <color theme="1"/>
      <name val="Arial"/>
    </font>
    <font>
      <b/>
      <u/>
      <sz val="8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AF9F9"/>
        <bgColor rgb="FFFAF9F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2" fillId="2" fontId="1" numFmtId="0" xfId="0" applyAlignment="1" applyBorder="1" applyFont="1">
      <alignment shrinkToFit="0" vertical="bottom" wrapText="0"/>
    </xf>
    <xf borderId="0" fillId="0" fontId="2" numFmtId="49" xfId="0" applyAlignment="1" applyFont="1" applyNumberFormat="1">
      <alignment vertical="bottom"/>
    </xf>
    <xf borderId="1" fillId="2" fontId="3" numFmtId="0" xfId="0" applyAlignment="1" applyBorder="1" applyFont="1">
      <alignment shrinkToFit="0" vertical="bottom" wrapText="0"/>
    </xf>
    <xf borderId="3" fillId="2" fontId="4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5" numFmtId="0" xfId="0" applyBorder="1" applyFont="1"/>
    <xf borderId="1" fillId="2" fontId="1" numFmtId="49" xfId="0" applyAlignment="1" applyBorder="1" applyFont="1" applyNumberFormat="1">
      <alignment vertical="bottom"/>
    </xf>
    <xf borderId="6" fillId="2" fontId="1" numFmtId="49" xfId="0" applyAlignment="1" applyBorder="1" applyFont="1" applyNumberFormat="1">
      <alignment horizontal="center" vertical="bottom"/>
    </xf>
    <xf borderId="7" fillId="0" fontId="2" numFmtId="49" xfId="0" applyAlignment="1" applyBorder="1" applyFont="1" applyNumberFormat="1">
      <alignment vertical="bottom"/>
    </xf>
    <xf borderId="8" fillId="2" fontId="1" numFmtId="49" xfId="0" applyAlignment="1" applyBorder="1" applyFont="1" applyNumberForma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2" fillId="0" fontId="6" numFmtId="49" xfId="0" applyAlignment="1" applyBorder="1" applyFont="1" applyNumberFormat="1">
      <alignment vertical="bottom"/>
    </xf>
    <xf borderId="3" fillId="0" fontId="6" numFmtId="0" xfId="0" applyAlignment="1" applyBorder="1" applyFont="1">
      <alignment horizontal="center" vertical="bottom"/>
    </xf>
    <xf borderId="10" fillId="0" fontId="2" numFmtId="49" xfId="0" applyAlignment="1" applyBorder="1" applyFont="1" applyNumberFormat="1">
      <alignment vertical="bottom"/>
    </xf>
    <xf borderId="3" fillId="0" fontId="1" numFmtId="49" xfId="0" applyAlignment="1" applyBorder="1" applyFont="1" applyNumberFormat="1">
      <alignment horizontal="center" vertical="bottom"/>
    </xf>
    <xf borderId="1" fillId="0" fontId="6" numFmtId="49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horizontal="center" vertical="bottom"/>
    </xf>
    <xf borderId="3" fillId="0" fontId="6" numFmtId="49" xfId="0" applyAlignment="1" applyBorder="1" applyFont="1" applyNumberFormat="1">
      <alignment horizontal="center" vertical="bottom"/>
    </xf>
    <xf borderId="3" fillId="0" fontId="6" numFmtId="4" xfId="0" applyAlignment="1" applyBorder="1" applyFont="1" applyNumberFormat="1">
      <alignment horizontal="center" vertical="bottom"/>
    </xf>
    <xf borderId="3" fillId="0" fontId="6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0" fontId="6" numFmtId="49" xfId="0" applyAlignment="1" applyBorder="1" applyFont="1" applyNumberFormat="1">
      <alignment vertical="bottom"/>
    </xf>
    <xf borderId="2" fillId="0" fontId="1" numFmtId="165" xfId="0" applyAlignment="1" applyBorder="1" applyFont="1" applyNumberFormat="1">
      <alignment horizontal="center" vertical="bottom"/>
    </xf>
    <xf borderId="11" fillId="0" fontId="6" numFmtId="49" xfId="0" applyAlignment="1" applyBorder="1" applyFont="1" applyNumberFormat="1">
      <alignment vertical="bottom"/>
    </xf>
    <xf borderId="11" fillId="0" fontId="6" numFmtId="0" xfId="0" applyAlignment="1" applyBorder="1" applyFont="1">
      <alignment horizontal="center" vertical="bottom"/>
    </xf>
    <xf borderId="2" fillId="2" fontId="1" numFmtId="49" xfId="0" applyAlignment="1" applyBorder="1" applyFont="1" applyNumberFormat="1">
      <alignment vertical="bottom"/>
    </xf>
    <xf borderId="3" fillId="2" fontId="2" numFmtId="49" xfId="0" applyAlignment="1" applyBorder="1" applyFont="1" applyNumberFormat="1">
      <alignment vertical="bottom"/>
    </xf>
    <xf borderId="3" fillId="2" fontId="1" numFmtId="49" xfId="0" applyAlignment="1" applyBorder="1" applyFont="1" applyNumberFormat="1">
      <alignment horizontal="center" vertical="bottom"/>
    </xf>
    <xf borderId="0" fillId="0" fontId="2" numFmtId="9" xfId="0" applyAlignment="1" applyFont="1" applyNumberFormat="1">
      <alignment vertical="bottom"/>
    </xf>
    <xf borderId="0" fillId="4" fontId="2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2" fillId="2" fontId="1" numFmtId="0" xfId="0" applyAlignment="1" applyBorder="1" applyFont="1">
      <alignment vertical="bottom"/>
    </xf>
    <xf borderId="3" fillId="2" fontId="7" numFmtId="0" xfId="0" applyAlignment="1" applyBorder="1" applyFont="1">
      <alignment shrinkToFit="0" vertical="bottom" wrapText="0"/>
    </xf>
    <xf borderId="1" fillId="0" fontId="1" numFmtId="49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readingOrder="0" vertical="bottom"/>
    </xf>
    <xf borderId="1" fillId="0" fontId="1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49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165" xfId="0" applyAlignment="1" applyFont="1" applyNumberFormat="1">
      <alignment horizontal="center" vertical="bottom"/>
    </xf>
    <xf borderId="12" fillId="0" fontId="6" numFmtId="49" xfId="0" applyAlignment="1" applyBorder="1" applyFont="1" applyNumberFormat="1">
      <alignment vertical="bottom"/>
    </xf>
    <xf borderId="13" fillId="0" fontId="6" numFmtId="0" xfId="0" applyAlignment="1" applyBorder="1" applyFont="1">
      <alignment horizontal="center" vertical="bottom"/>
    </xf>
    <xf borderId="3" fillId="2" fontId="2" numFmtId="0" xfId="0" applyAlignment="1" applyBorder="1" applyFont="1">
      <alignment vertical="bottom"/>
    </xf>
    <xf borderId="3" fillId="2" fontId="1" numFmtId="0" xfId="0" applyAlignment="1" applyBorder="1" applyFont="1">
      <alignment horizontal="center" vertical="bottom"/>
    </xf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4" fillId="2" fontId="1" numFmtId="49" xfId="0" applyAlignment="1" applyBorder="1" applyFont="1" applyNumberFormat="1">
      <alignment horizontal="center" vertical="bottom"/>
    </xf>
    <xf borderId="14" fillId="0" fontId="5" numFmtId="0" xfId="0" applyBorder="1" applyFont="1"/>
    <xf borderId="13" fillId="0" fontId="5" numFmtId="0" xfId="0" applyBorder="1" applyFont="1"/>
    <xf borderId="1" fillId="0" fontId="2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b.gc.com/teams/ksPLA1CqW43k" TargetMode="External"/><Relationship Id="rId2" Type="http://schemas.openxmlformats.org/officeDocument/2006/relationships/hyperlink" Target="https://usssa.com/fastpitch/teamHome/?teamID=3279861" TargetMode="External"/><Relationship Id="rId3" Type="http://schemas.openxmlformats.org/officeDocument/2006/relationships/hyperlink" Target="https://nesb.registerplay.com/pages/team/detail/3681023968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sssa.com/fastpitch/teamHome/?teamID=319624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5" width="4.75"/>
    <col customWidth="1" min="6" max="6" width="0.38"/>
    <col customWidth="1" min="7" max="7" width="4.25"/>
    <col customWidth="1" min="9" max="22" width="4.25"/>
    <col customWidth="1" min="23" max="23" width="9.0"/>
    <col customWidth="1" min="24" max="24" width="0.38"/>
    <col customWidth="1" min="25" max="25" width="4.25"/>
    <col customWidth="1" min="26" max="26" width="15.13"/>
    <col customWidth="1" min="27" max="32" width="4.25"/>
    <col customWidth="1" min="33" max="33" width="7.88"/>
    <col customWidth="1" min="34" max="34" width="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5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5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>
      <c r="A4" s="7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>
      <c r="A5" s="7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>
      <c r="A7" s="8" t="s">
        <v>5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>
      <c r="A8" s="11" t="s">
        <v>6</v>
      </c>
      <c r="B8" s="12" t="s">
        <v>7</v>
      </c>
      <c r="C8" s="12" t="s">
        <v>8</v>
      </c>
      <c r="D8" s="12" t="s">
        <v>9</v>
      </c>
      <c r="E8" s="12" t="s">
        <v>10</v>
      </c>
      <c r="F8" s="13"/>
      <c r="G8" s="14" t="s">
        <v>11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  <c r="X8" s="13"/>
      <c r="Y8" s="14" t="s">
        <v>12</v>
      </c>
      <c r="Z8" s="15"/>
      <c r="AA8" s="15"/>
      <c r="AB8" s="15"/>
      <c r="AC8" s="15"/>
      <c r="AD8" s="15"/>
      <c r="AE8" s="15"/>
      <c r="AF8" s="15"/>
      <c r="AG8" s="16"/>
      <c r="AH8" s="2"/>
      <c r="AI8" s="5"/>
      <c r="AJ8" s="5"/>
      <c r="AK8" s="5"/>
      <c r="AL8" s="2"/>
      <c r="AM8" s="2"/>
      <c r="AN8" s="5"/>
      <c r="AO8" s="2"/>
      <c r="AP8" s="2"/>
      <c r="AQ8" s="2"/>
      <c r="AR8" s="5"/>
      <c r="AS8" s="5"/>
      <c r="AT8" s="5"/>
      <c r="AU8" s="5"/>
      <c r="AV8" s="5"/>
      <c r="AW8" s="5"/>
      <c r="AX8" s="5"/>
      <c r="AY8" s="5"/>
      <c r="AZ8" s="2"/>
      <c r="BA8" s="2"/>
      <c r="BB8" s="2"/>
      <c r="BC8" s="5"/>
      <c r="BD8" s="5"/>
      <c r="BE8" s="5"/>
      <c r="BF8" s="5"/>
      <c r="BG8" s="5"/>
    </row>
    <row r="9">
      <c r="A9" s="17" t="s">
        <v>13</v>
      </c>
      <c r="B9" s="18" t="s">
        <v>14</v>
      </c>
      <c r="C9" s="18">
        <v>12.0</v>
      </c>
      <c r="D9" s="18">
        <v>0.0</v>
      </c>
      <c r="E9" s="18">
        <v>12.0</v>
      </c>
      <c r="F9" s="19"/>
      <c r="G9" s="20" t="s">
        <v>15</v>
      </c>
      <c r="H9" s="20" t="s">
        <v>16</v>
      </c>
      <c r="I9" s="20" t="s">
        <v>17</v>
      </c>
      <c r="J9" s="20" t="s">
        <v>18</v>
      </c>
      <c r="K9" s="20" t="s">
        <v>19</v>
      </c>
      <c r="L9" s="20" t="s">
        <v>20</v>
      </c>
      <c r="M9" s="20" t="s">
        <v>21</v>
      </c>
      <c r="N9" s="20" t="s">
        <v>22</v>
      </c>
      <c r="O9" s="20" t="s">
        <v>23</v>
      </c>
      <c r="P9" s="20" t="s">
        <v>24</v>
      </c>
      <c r="Q9" s="20" t="s">
        <v>25</v>
      </c>
      <c r="R9" s="20" t="s">
        <v>26</v>
      </c>
      <c r="S9" s="20" t="s">
        <v>27</v>
      </c>
      <c r="T9" s="20" t="s">
        <v>28</v>
      </c>
      <c r="U9" s="20" t="s">
        <v>29</v>
      </c>
      <c r="V9" s="20" t="s">
        <v>30</v>
      </c>
      <c r="W9" s="20" t="s">
        <v>31</v>
      </c>
      <c r="X9" s="19"/>
      <c r="Y9" s="20" t="s">
        <v>15</v>
      </c>
      <c r="Z9" s="20" t="s">
        <v>16</v>
      </c>
      <c r="AA9" s="20" t="s">
        <v>32</v>
      </c>
      <c r="AB9" s="20" t="s">
        <v>21</v>
      </c>
      <c r="AC9" s="20" t="s">
        <v>19</v>
      </c>
      <c r="AD9" s="20" t="s">
        <v>33</v>
      </c>
      <c r="AE9" s="20" t="s">
        <v>25</v>
      </c>
      <c r="AF9" s="20" t="s">
        <v>34</v>
      </c>
      <c r="AG9" s="20" t="s">
        <v>35</v>
      </c>
      <c r="AH9" s="2"/>
      <c r="AI9" s="5"/>
      <c r="AJ9" s="5"/>
      <c r="AK9" s="5"/>
      <c r="AL9" s="2"/>
      <c r="AM9" s="2"/>
      <c r="AN9" s="5"/>
      <c r="AO9" s="2"/>
      <c r="AP9" s="2"/>
      <c r="AQ9" s="2"/>
      <c r="AR9" s="5"/>
      <c r="AS9" s="5"/>
      <c r="AT9" s="5"/>
      <c r="AU9" s="5"/>
      <c r="AV9" s="5"/>
      <c r="AW9" s="5"/>
      <c r="AX9" s="5"/>
      <c r="AY9" s="5"/>
      <c r="AZ9" s="2"/>
      <c r="BA9" s="2"/>
      <c r="BB9" s="2"/>
      <c r="BC9" s="5"/>
      <c r="BD9" s="5"/>
      <c r="BE9" s="5"/>
      <c r="BF9" s="5"/>
      <c r="BG9" s="5"/>
    </row>
    <row r="10">
      <c r="A10" s="17" t="s">
        <v>36</v>
      </c>
      <c r="B10" s="18" t="s">
        <v>14</v>
      </c>
      <c r="C10" s="18">
        <v>21.0</v>
      </c>
      <c r="D10" s="18">
        <v>1.0</v>
      </c>
      <c r="E10" s="18">
        <v>20.0</v>
      </c>
      <c r="F10" s="19"/>
      <c r="G10" s="21">
        <v>20.0</v>
      </c>
      <c r="H10" s="22" t="s">
        <v>37</v>
      </c>
      <c r="I10" s="23" t="s">
        <v>38</v>
      </c>
      <c r="J10" s="23" t="s">
        <v>39</v>
      </c>
      <c r="K10" s="23" t="s">
        <v>40</v>
      </c>
      <c r="L10" s="23" t="s">
        <v>41</v>
      </c>
      <c r="M10" s="23" t="s">
        <v>42</v>
      </c>
      <c r="N10" s="23" t="s">
        <v>43</v>
      </c>
      <c r="O10" s="23" t="s">
        <v>44</v>
      </c>
      <c r="P10" s="23" t="s">
        <v>45</v>
      </c>
      <c r="Q10" s="23" t="s">
        <v>46</v>
      </c>
      <c r="R10" s="23" t="s">
        <v>47</v>
      </c>
      <c r="S10" s="24">
        <f t="shared" ref="S10:S14" si="1">divide(O10,Q10)</f>
        <v>2.090909091</v>
      </c>
      <c r="T10" s="23" t="s">
        <v>48</v>
      </c>
      <c r="U10" s="23" t="s">
        <v>49</v>
      </c>
      <c r="V10" s="23" t="s">
        <v>50</v>
      </c>
      <c r="W10" s="25">
        <f t="shared" ref="W10:W14" si="2">divide(V10,U10)</f>
        <v>0.6045314109</v>
      </c>
      <c r="X10" s="19"/>
      <c r="Y10" s="21" t="s">
        <v>51</v>
      </c>
      <c r="Z10" s="21" t="s">
        <v>52</v>
      </c>
      <c r="AA10" s="26">
        <v>83.0</v>
      </c>
      <c r="AB10" s="26">
        <v>27.0</v>
      </c>
      <c r="AC10" s="26">
        <v>27.0</v>
      </c>
      <c r="AD10" s="26">
        <v>18.0</v>
      </c>
      <c r="AE10" s="26">
        <v>14.0</v>
      </c>
      <c r="AF10" s="26">
        <v>12.0</v>
      </c>
      <c r="AG10" s="27">
        <f t="shared" ref="AG10:AG22" si="3">divide(AC10,AA10)</f>
        <v>0.3253012048</v>
      </c>
      <c r="AH10" s="2"/>
      <c r="AI10" s="5"/>
      <c r="AJ10" s="5"/>
      <c r="AK10" s="5"/>
      <c r="AL10" s="2"/>
      <c r="AM10" s="2"/>
      <c r="AN10" s="5"/>
      <c r="AO10" s="2"/>
      <c r="AP10" s="2"/>
      <c r="AQ10" s="2"/>
      <c r="AR10" s="5"/>
      <c r="AS10" s="5"/>
      <c r="AT10" s="5"/>
      <c r="AU10" s="5"/>
      <c r="AV10" s="5"/>
      <c r="AW10" s="5"/>
      <c r="AX10" s="5"/>
      <c r="AY10" s="5"/>
      <c r="AZ10" s="2"/>
      <c r="BA10" s="2"/>
      <c r="BB10" s="2"/>
      <c r="BC10" s="5"/>
      <c r="BD10" s="5"/>
      <c r="BE10" s="5"/>
      <c r="BF10" s="5"/>
      <c r="BG10" s="5"/>
    </row>
    <row r="11">
      <c r="A11" s="17" t="s">
        <v>53</v>
      </c>
      <c r="B11" s="18" t="s">
        <v>14</v>
      </c>
      <c r="C11" s="18">
        <v>5.0</v>
      </c>
      <c r="D11" s="18">
        <v>3.0</v>
      </c>
      <c r="E11" s="18">
        <v>2.0</v>
      </c>
      <c r="F11" s="5"/>
      <c r="G11" s="26">
        <v>13.0</v>
      </c>
      <c r="H11" s="21" t="s">
        <v>54</v>
      </c>
      <c r="I11" s="23" t="s">
        <v>55</v>
      </c>
      <c r="J11" s="23" t="s">
        <v>56</v>
      </c>
      <c r="K11" s="23" t="s">
        <v>46</v>
      </c>
      <c r="L11" s="23" t="s">
        <v>57</v>
      </c>
      <c r="M11" s="23" t="s">
        <v>55</v>
      </c>
      <c r="N11" s="23" t="s">
        <v>58</v>
      </c>
      <c r="O11" s="23" t="s">
        <v>46</v>
      </c>
      <c r="P11" s="23" t="s">
        <v>57</v>
      </c>
      <c r="Q11" s="23" t="s">
        <v>59</v>
      </c>
      <c r="R11" s="23" t="s">
        <v>60</v>
      </c>
      <c r="S11" s="24">
        <f t="shared" si="1"/>
        <v>4.125</v>
      </c>
      <c r="T11" s="23" t="s">
        <v>61</v>
      </c>
      <c r="U11" s="23" t="s">
        <v>62</v>
      </c>
      <c r="V11" s="23" t="s">
        <v>63</v>
      </c>
      <c r="W11" s="25">
        <f t="shared" si="2"/>
        <v>0.6467576792</v>
      </c>
      <c r="X11" s="19"/>
      <c r="Y11" s="26">
        <v>1.0</v>
      </c>
      <c r="Z11" s="22" t="s">
        <v>64</v>
      </c>
      <c r="AA11" s="26">
        <v>85.0</v>
      </c>
      <c r="AB11" s="26">
        <v>31.0</v>
      </c>
      <c r="AC11" s="26">
        <v>35.0</v>
      </c>
      <c r="AD11" s="26">
        <v>24.0</v>
      </c>
      <c r="AE11" s="26">
        <v>9.0</v>
      </c>
      <c r="AF11" s="26">
        <v>2.0</v>
      </c>
      <c r="AG11" s="27">
        <f t="shared" si="3"/>
        <v>0.4117647059</v>
      </c>
      <c r="AH11" s="2"/>
      <c r="AI11" s="5"/>
      <c r="AJ11" s="5"/>
      <c r="AK11" s="5"/>
      <c r="AL11" s="2"/>
      <c r="AM11" s="2"/>
      <c r="AN11" s="5"/>
      <c r="AO11" s="2"/>
      <c r="AP11" s="2"/>
      <c r="AQ11" s="2"/>
      <c r="AR11" s="5"/>
      <c r="AS11" s="5"/>
      <c r="AT11" s="5"/>
      <c r="AU11" s="5"/>
      <c r="AV11" s="5"/>
      <c r="AW11" s="5"/>
      <c r="AX11" s="5"/>
      <c r="AY11" s="5"/>
      <c r="AZ11" s="2"/>
      <c r="BA11" s="2"/>
      <c r="BB11" s="2"/>
      <c r="BC11" s="5"/>
      <c r="BD11" s="5"/>
      <c r="BE11" s="5"/>
      <c r="BF11" s="5"/>
      <c r="BG11" s="5"/>
    </row>
    <row r="12">
      <c r="A12" s="17" t="s">
        <v>53</v>
      </c>
      <c r="B12" s="18" t="s">
        <v>65</v>
      </c>
      <c r="C12" s="18">
        <v>0.0</v>
      </c>
      <c r="D12" s="18">
        <v>12.0</v>
      </c>
      <c r="E12" s="18">
        <v>-12.0</v>
      </c>
      <c r="F12" s="5"/>
      <c r="G12" s="21" t="s">
        <v>66</v>
      </c>
      <c r="H12" s="21" t="s">
        <v>67</v>
      </c>
      <c r="I12" s="23" t="s">
        <v>68</v>
      </c>
      <c r="J12" s="23" t="s">
        <v>69</v>
      </c>
      <c r="K12" s="23" t="s">
        <v>70</v>
      </c>
      <c r="L12" s="23" t="s">
        <v>71</v>
      </c>
      <c r="M12" s="23" t="s">
        <v>72</v>
      </c>
      <c r="N12" s="23" t="s">
        <v>73</v>
      </c>
      <c r="O12" s="23" t="s">
        <v>74</v>
      </c>
      <c r="P12" s="23" t="s">
        <v>75</v>
      </c>
      <c r="Q12" s="23" t="s">
        <v>76</v>
      </c>
      <c r="R12" s="23" t="s">
        <v>77</v>
      </c>
      <c r="S12" s="24">
        <f t="shared" si="1"/>
        <v>1.551724138</v>
      </c>
      <c r="T12" s="23" t="s">
        <v>61</v>
      </c>
      <c r="U12" s="23" t="s">
        <v>78</v>
      </c>
      <c r="V12" s="23" t="s">
        <v>79</v>
      </c>
      <c r="W12" s="25">
        <f t="shared" si="2"/>
        <v>0.5779816514</v>
      </c>
      <c r="X12" s="19"/>
      <c r="Y12" s="21">
        <v>32.0</v>
      </c>
      <c r="Z12" s="22" t="s">
        <v>80</v>
      </c>
      <c r="AA12" s="26">
        <v>94.0</v>
      </c>
      <c r="AB12" s="26">
        <v>17.0</v>
      </c>
      <c r="AC12" s="26">
        <v>35.0</v>
      </c>
      <c r="AD12" s="26">
        <v>24.0</v>
      </c>
      <c r="AE12" s="26">
        <v>6.0</v>
      </c>
      <c r="AF12" s="26">
        <v>2.0</v>
      </c>
      <c r="AG12" s="27">
        <f t="shared" si="3"/>
        <v>0.3723404255</v>
      </c>
      <c r="AH12" s="2"/>
      <c r="AI12" s="5"/>
      <c r="AJ12" s="5"/>
      <c r="AK12" s="5"/>
      <c r="AL12" s="2"/>
      <c r="AM12" s="2"/>
      <c r="AN12" s="5"/>
      <c r="AO12" s="2"/>
      <c r="AP12" s="2"/>
      <c r="AQ12" s="2"/>
      <c r="AR12" s="5"/>
      <c r="AS12" s="5"/>
      <c r="AT12" s="5"/>
      <c r="AU12" s="5"/>
      <c r="AV12" s="5"/>
      <c r="AW12" s="5"/>
      <c r="AX12" s="5"/>
      <c r="AY12" s="5"/>
      <c r="AZ12" s="2"/>
      <c r="BA12" s="2"/>
      <c r="BB12" s="2"/>
      <c r="BC12" s="5"/>
      <c r="BD12" s="5"/>
      <c r="BE12" s="5"/>
      <c r="BF12" s="5"/>
      <c r="BG12" s="5"/>
    </row>
    <row r="13">
      <c r="A13" s="17" t="s">
        <v>81</v>
      </c>
      <c r="B13" s="18" t="s">
        <v>14</v>
      </c>
      <c r="C13" s="18">
        <v>11.0</v>
      </c>
      <c r="D13" s="18">
        <v>2.0</v>
      </c>
      <c r="E13" s="18">
        <v>9.0</v>
      </c>
      <c r="F13" s="5"/>
      <c r="G13" s="21">
        <v>8.0</v>
      </c>
      <c r="H13" s="22" t="s">
        <v>82</v>
      </c>
      <c r="I13" s="23" t="s">
        <v>83</v>
      </c>
      <c r="J13" s="23" t="s">
        <v>84</v>
      </c>
      <c r="K13" s="23" t="s">
        <v>85</v>
      </c>
      <c r="L13" s="23" t="s">
        <v>86</v>
      </c>
      <c r="M13" s="23" t="s">
        <v>87</v>
      </c>
      <c r="N13" s="23" t="s">
        <v>88</v>
      </c>
      <c r="O13" s="23" t="s">
        <v>89</v>
      </c>
      <c r="P13" s="23" t="s">
        <v>90</v>
      </c>
      <c r="Q13" s="23" t="s">
        <v>91</v>
      </c>
      <c r="R13" s="23" t="s">
        <v>92</v>
      </c>
      <c r="S13" s="24">
        <f t="shared" si="1"/>
        <v>4.571428571</v>
      </c>
      <c r="T13" s="23" t="s">
        <v>93</v>
      </c>
      <c r="U13" s="23" t="s">
        <v>94</v>
      </c>
      <c r="V13" s="23" t="s">
        <v>95</v>
      </c>
      <c r="W13" s="25">
        <f t="shared" si="2"/>
        <v>0.6245210728</v>
      </c>
      <c r="X13" s="19"/>
      <c r="Y13" s="26">
        <v>13.0</v>
      </c>
      <c r="Z13" s="21" t="s">
        <v>96</v>
      </c>
      <c r="AA13" s="26">
        <v>88.0</v>
      </c>
      <c r="AB13" s="26">
        <v>21.0</v>
      </c>
      <c r="AC13" s="26">
        <v>35.0</v>
      </c>
      <c r="AD13" s="26">
        <v>25.0</v>
      </c>
      <c r="AE13" s="26">
        <v>12.0</v>
      </c>
      <c r="AF13" s="26">
        <v>8.0</v>
      </c>
      <c r="AG13" s="27">
        <f t="shared" si="3"/>
        <v>0.3977272727</v>
      </c>
      <c r="AH13" s="2"/>
      <c r="AI13" s="5"/>
      <c r="AJ13" s="5"/>
      <c r="AK13" s="5"/>
      <c r="AL13" s="2"/>
      <c r="AM13" s="2"/>
      <c r="AN13" s="5"/>
      <c r="AO13" s="2"/>
      <c r="AP13" s="2"/>
      <c r="AQ13" s="2"/>
      <c r="AR13" s="5"/>
      <c r="AS13" s="5"/>
      <c r="AT13" s="5"/>
      <c r="AU13" s="5"/>
      <c r="AV13" s="5"/>
      <c r="AW13" s="5"/>
      <c r="AX13" s="5"/>
      <c r="AY13" s="5"/>
      <c r="AZ13" s="2"/>
      <c r="BA13" s="2"/>
      <c r="BB13" s="2"/>
      <c r="BC13" s="5"/>
      <c r="BD13" s="5"/>
      <c r="BE13" s="5"/>
      <c r="BF13" s="5"/>
      <c r="BG13" s="5"/>
    </row>
    <row r="14">
      <c r="A14" s="17" t="s">
        <v>97</v>
      </c>
      <c r="B14" s="18" t="s">
        <v>14</v>
      </c>
      <c r="C14" s="18">
        <v>7.0</v>
      </c>
      <c r="D14" s="18">
        <v>1.0</v>
      </c>
      <c r="E14" s="18">
        <v>6.0</v>
      </c>
      <c r="F14" s="5"/>
      <c r="G14" s="26">
        <v>1.0</v>
      </c>
      <c r="H14" s="22" t="s">
        <v>98</v>
      </c>
      <c r="I14" s="23" t="s">
        <v>99</v>
      </c>
      <c r="J14" s="23" t="s">
        <v>100</v>
      </c>
      <c r="K14" s="23" t="s">
        <v>51</v>
      </c>
      <c r="L14" s="23" t="s">
        <v>101</v>
      </c>
      <c r="M14" s="23" t="s">
        <v>38</v>
      </c>
      <c r="N14" s="23" t="s">
        <v>102</v>
      </c>
      <c r="O14" s="23" t="s">
        <v>51</v>
      </c>
      <c r="P14" s="23" t="s">
        <v>101</v>
      </c>
      <c r="Q14" s="23" t="s">
        <v>103</v>
      </c>
      <c r="R14" s="23" t="s">
        <v>104</v>
      </c>
      <c r="S14" s="24">
        <f t="shared" si="1"/>
        <v>3.833333333</v>
      </c>
      <c r="T14" s="23" t="s">
        <v>105</v>
      </c>
      <c r="U14" s="23" t="s">
        <v>63</v>
      </c>
      <c r="V14" s="23" t="s">
        <v>106</v>
      </c>
      <c r="W14" s="25">
        <f t="shared" si="2"/>
        <v>0.6147757256</v>
      </c>
      <c r="X14" s="19"/>
      <c r="Y14" s="26">
        <v>20.0</v>
      </c>
      <c r="Z14" s="21" t="s">
        <v>107</v>
      </c>
      <c r="AA14" s="26">
        <v>90.0</v>
      </c>
      <c r="AB14" s="26">
        <v>29.0</v>
      </c>
      <c r="AC14" s="26">
        <v>31.0</v>
      </c>
      <c r="AD14" s="26">
        <v>18.0</v>
      </c>
      <c r="AE14" s="26">
        <v>14.0</v>
      </c>
      <c r="AF14" s="26">
        <v>11.0</v>
      </c>
      <c r="AG14" s="27">
        <f t="shared" si="3"/>
        <v>0.3444444444</v>
      </c>
      <c r="AH14" s="2"/>
      <c r="AI14" s="5"/>
      <c r="AJ14" s="5"/>
      <c r="AK14" s="5"/>
      <c r="AL14" s="2"/>
      <c r="AM14" s="2"/>
      <c r="AN14" s="5"/>
      <c r="AO14" s="2"/>
      <c r="AP14" s="2"/>
      <c r="AQ14" s="2"/>
      <c r="AR14" s="5"/>
      <c r="AS14" s="5"/>
      <c r="AT14" s="5"/>
      <c r="AU14" s="5"/>
      <c r="AV14" s="5"/>
      <c r="AW14" s="5"/>
      <c r="AX14" s="5"/>
      <c r="AY14" s="5"/>
      <c r="AZ14" s="2"/>
      <c r="BA14" s="2"/>
      <c r="BB14" s="2"/>
      <c r="BC14" s="5"/>
      <c r="BD14" s="5"/>
      <c r="BE14" s="5"/>
      <c r="BF14" s="5"/>
      <c r="BG14" s="5"/>
    </row>
    <row r="15">
      <c r="A15" s="17" t="s">
        <v>108</v>
      </c>
      <c r="B15" s="18" t="s">
        <v>14</v>
      </c>
      <c r="C15" s="18">
        <v>9.0</v>
      </c>
      <c r="D15" s="18">
        <v>6.0</v>
      </c>
      <c r="E15" s="18">
        <v>3.0</v>
      </c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9"/>
      <c r="Y15" s="21">
        <v>20.0</v>
      </c>
      <c r="Z15" s="22" t="s">
        <v>109</v>
      </c>
      <c r="AA15" s="26">
        <v>76.0</v>
      </c>
      <c r="AB15" s="26">
        <v>31.0</v>
      </c>
      <c r="AC15" s="26">
        <v>39.0</v>
      </c>
      <c r="AD15" s="26">
        <v>17.0</v>
      </c>
      <c r="AE15" s="26">
        <v>9.0</v>
      </c>
      <c r="AF15" s="26">
        <v>5.0</v>
      </c>
      <c r="AG15" s="27">
        <f t="shared" si="3"/>
        <v>0.5131578947</v>
      </c>
      <c r="AH15" s="2"/>
      <c r="AI15" s="5"/>
      <c r="AJ15" s="5"/>
      <c r="AK15" s="5"/>
      <c r="AL15" s="2"/>
      <c r="AM15" s="2"/>
      <c r="AN15" s="5"/>
      <c r="AO15" s="2"/>
      <c r="AP15" s="2"/>
      <c r="AQ15" s="2"/>
      <c r="AR15" s="5"/>
      <c r="AS15" s="5"/>
      <c r="AT15" s="5"/>
      <c r="AU15" s="5"/>
      <c r="AV15" s="5"/>
      <c r="AW15" s="5"/>
      <c r="AX15" s="5"/>
      <c r="AY15" s="5"/>
      <c r="AZ15" s="2"/>
      <c r="BA15" s="2"/>
      <c r="BB15" s="2"/>
      <c r="BC15" s="5"/>
      <c r="BD15" s="5"/>
      <c r="BE15" s="5"/>
      <c r="BF15" s="5"/>
      <c r="BG15" s="5"/>
    </row>
    <row r="16">
      <c r="A16" s="17" t="s">
        <v>110</v>
      </c>
      <c r="B16" s="18" t="s">
        <v>14</v>
      </c>
      <c r="C16" s="18">
        <v>8.0</v>
      </c>
      <c r="D16" s="18">
        <v>2.0</v>
      </c>
      <c r="E16" s="18">
        <v>6.0</v>
      </c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9"/>
      <c r="Y16" s="21">
        <v>75.0</v>
      </c>
      <c r="Z16" s="22" t="s">
        <v>111</v>
      </c>
      <c r="AA16" s="26">
        <v>59.0</v>
      </c>
      <c r="AB16" s="26">
        <v>20.0</v>
      </c>
      <c r="AC16" s="26">
        <v>13.0</v>
      </c>
      <c r="AD16" s="26">
        <v>17.0</v>
      </c>
      <c r="AE16" s="26">
        <v>12.0</v>
      </c>
      <c r="AF16" s="26">
        <v>13.0</v>
      </c>
      <c r="AG16" s="27">
        <f t="shared" si="3"/>
        <v>0.2203389831</v>
      </c>
      <c r="AH16" s="2"/>
      <c r="AI16" s="5"/>
      <c r="AJ16" s="5"/>
      <c r="AK16" s="5"/>
      <c r="AL16" s="2"/>
      <c r="AM16" s="2"/>
      <c r="AN16" s="5"/>
      <c r="AO16" s="2"/>
      <c r="AP16" s="2"/>
      <c r="AQ16" s="2"/>
      <c r="AR16" s="5"/>
      <c r="AS16" s="5"/>
      <c r="AT16" s="5"/>
      <c r="AU16" s="5"/>
      <c r="AV16" s="5"/>
      <c r="AW16" s="5"/>
      <c r="AX16" s="5"/>
      <c r="AY16" s="5"/>
      <c r="AZ16" s="2"/>
      <c r="BA16" s="2"/>
      <c r="BB16" s="2"/>
      <c r="BC16" s="5"/>
      <c r="BD16" s="5"/>
      <c r="BE16" s="5"/>
      <c r="BF16" s="5"/>
      <c r="BG16" s="5"/>
    </row>
    <row r="17">
      <c r="A17" s="17" t="s">
        <v>112</v>
      </c>
      <c r="B17" s="18" t="s">
        <v>14</v>
      </c>
      <c r="C17" s="18">
        <v>11.0</v>
      </c>
      <c r="D17" s="18">
        <v>0.0</v>
      </c>
      <c r="E17" s="18">
        <v>11.0</v>
      </c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9"/>
      <c r="Y17" s="21" t="s">
        <v>66</v>
      </c>
      <c r="Z17" s="21" t="s">
        <v>113</v>
      </c>
      <c r="AA17" s="26">
        <v>76.0</v>
      </c>
      <c r="AB17" s="26">
        <v>21.0</v>
      </c>
      <c r="AC17" s="26">
        <v>23.0</v>
      </c>
      <c r="AD17" s="26">
        <v>24.0</v>
      </c>
      <c r="AE17" s="26">
        <v>9.0</v>
      </c>
      <c r="AF17" s="26">
        <v>7.0</v>
      </c>
      <c r="AG17" s="27">
        <f t="shared" si="3"/>
        <v>0.3026315789</v>
      </c>
      <c r="AH17" s="2"/>
      <c r="AI17" s="5"/>
      <c r="AJ17" s="5"/>
      <c r="AK17" s="5"/>
      <c r="AL17" s="2"/>
      <c r="AM17" s="2"/>
      <c r="AN17" s="5"/>
      <c r="AO17" s="2"/>
      <c r="AP17" s="2"/>
      <c r="AQ17" s="2"/>
      <c r="AR17" s="5"/>
      <c r="AS17" s="5"/>
      <c r="AT17" s="5"/>
      <c r="AU17" s="5"/>
      <c r="AV17" s="5"/>
      <c r="AW17" s="5"/>
      <c r="AX17" s="5"/>
      <c r="AY17" s="5"/>
      <c r="AZ17" s="2"/>
      <c r="BA17" s="2"/>
      <c r="BB17" s="2"/>
      <c r="BC17" s="5"/>
      <c r="BD17" s="5"/>
      <c r="BE17" s="5"/>
      <c r="BF17" s="5"/>
      <c r="BG17" s="5"/>
    </row>
    <row r="18">
      <c r="A18" s="17" t="s">
        <v>114</v>
      </c>
      <c r="B18" s="18" t="s">
        <v>14</v>
      </c>
      <c r="C18" s="18">
        <v>10.0</v>
      </c>
      <c r="D18" s="18">
        <v>0.0</v>
      </c>
      <c r="E18" s="18">
        <v>10.0</v>
      </c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9"/>
      <c r="Y18" s="21" t="s">
        <v>115</v>
      </c>
      <c r="Z18" s="21" t="s">
        <v>116</v>
      </c>
      <c r="AA18" s="26">
        <v>66.0</v>
      </c>
      <c r="AB18" s="26">
        <v>23.0</v>
      </c>
      <c r="AC18" s="26">
        <v>24.0</v>
      </c>
      <c r="AD18" s="26">
        <v>20.0</v>
      </c>
      <c r="AE18" s="26">
        <v>14.0</v>
      </c>
      <c r="AF18" s="26">
        <v>7.0</v>
      </c>
      <c r="AG18" s="27">
        <f t="shared" si="3"/>
        <v>0.3636363636</v>
      </c>
      <c r="AH18" s="2"/>
      <c r="AI18" s="5"/>
      <c r="AJ18" s="5"/>
      <c r="AK18" s="5"/>
      <c r="AL18" s="2"/>
      <c r="AM18" s="2"/>
      <c r="AN18" s="5"/>
      <c r="AO18" s="2"/>
      <c r="AP18" s="2"/>
      <c r="AQ18" s="2"/>
      <c r="AR18" s="5"/>
      <c r="AS18" s="5"/>
      <c r="AT18" s="5"/>
      <c r="AU18" s="5"/>
      <c r="AV18" s="5"/>
      <c r="AW18" s="5"/>
      <c r="AX18" s="5"/>
      <c r="AY18" s="5"/>
      <c r="AZ18" s="2"/>
      <c r="BA18" s="2"/>
      <c r="BB18" s="2"/>
      <c r="BC18" s="5"/>
      <c r="BD18" s="5"/>
      <c r="BE18" s="5"/>
      <c r="BF18" s="5"/>
      <c r="BG18" s="5"/>
    </row>
    <row r="19">
      <c r="A19" s="17" t="s">
        <v>117</v>
      </c>
      <c r="B19" s="18" t="s">
        <v>65</v>
      </c>
      <c r="C19" s="18">
        <v>4.0</v>
      </c>
      <c r="D19" s="18">
        <v>6.0</v>
      </c>
      <c r="E19" s="18">
        <v>-2.0</v>
      </c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9"/>
      <c r="Y19" s="21">
        <v>8.0</v>
      </c>
      <c r="Z19" s="22" t="s">
        <v>118</v>
      </c>
      <c r="AA19" s="26">
        <v>62.0</v>
      </c>
      <c r="AB19" s="26">
        <v>23.0</v>
      </c>
      <c r="AC19" s="26">
        <v>26.0</v>
      </c>
      <c r="AD19" s="26">
        <v>16.0</v>
      </c>
      <c r="AE19" s="26">
        <v>12.0</v>
      </c>
      <c r="AF19" s="26">
        <v>11.0</v>
      </c>
      <c r="AG19" s="27">
        <f t="shared" si="3"/>
        <v>0.4193548387</v>
      </c>
      <c r="AH19" s="2"/>
      <c r="AI19" s="5"/>
      <c r="AJ19" s="5"/>
      <c r="AK19" s="5"/>
      <c r="AL19" s="2"/>
      <c r="AM19" s="2"/>
      <c r="AN19" s="5"/>
      <c r="AO19" s="2"/>
      <c r="AP19" s="2"/>
      <c r="AQ19" s="2"/>
      <c r="AR19" s="5"/>
      <c r="AS19" s="5"/>
      <c r="AT19" s="5"/>
      <c r="AU19" s="5"/>
      <c r="AV19" s="5"/>
      <c r="AW19" s="5"/>
      <c r="AX19" s="5"/>
      <c r="AY19" s="5"/>
      <c r="AZ19" s="2"/>
      <c r="BA19" s="2"/>
      <c r="BB19" s="2"/>
      <c r="BC19" s="5"/>
      <c r="BD19" s="5"/>
      <c r="BE19" s="5"/>
      <c r="BF19" s="5"/>
      <c r="BG19" s="5"/>
    </row>
    <row r="20">
      <c r="A20" s="17" t="s">
        <v>119</v>
      </c>
      <c r="B20" s="18" t="s">
        <v>65</v>
      </c>
      <c r="C20" s="18">
        <v>3.0</v>
      </c>
      <c r="D20" s="18">
        <v>7.0</v>
      </c>
      <c r="E20" s="18">
        <v>-4.0</v>
      </c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5"/>
      <c r="Y20" s="21" t="s">
        <v>66</v>
      </c>
      <c r="Z20" s="21" t="s">
        <v>120</v>
      </c>
      <c r="AA20" s="26">
        <v>31.0</v>
      </c>
      <c r="AB20" s="26">
        <v>11.0</v>
      </c>
      <c r="AC20" s="26">
        <v>9.0</v>
      </c>
      <c r="AD20" s="26">
        <v>8.0</v>
      </c>
      <c r="AE20" s="26">
        <v>3.0</v>
      </c>
      <c r="AF20" s="26">
        <v>7.0</v>
      </c>
      <c r="AG20" s="27">
        <f t="shared" si="3"/>
        <v>0.2903225806</v>
      </c>
      <c r="AH20" s="2"/>
      <c r="AI20" s="5"/>
      <c r="AJ20" s="5"/>
      <c r="AK20" s="5"/>
      <c r="AL20" s="2"/>
      <c r="AM20" s="2"/>
      <c r="AN20" s="5"/>
      <c r="AO20" s="2"/>
      <c r="AP20" s="2"/>
      <c r="AQ20" s="2"/>
      <c r="AR20" s="5"/>
      <c r="AS20" s="5"/>
      <c r="AT20" s="5"/>
      <c r="AU20" s="5"/>
      <c r="AV20" s="5"/>
      <c r="AW20" s="5"/>
      <c r="AX20" s="5"/>
      <c r="AY20" s="5"/>
      <c r="AZ20" s="2"/>
      <c r="BA20" s="2"/>
      <c r="BB20" s="2"/>
      <c r="BC20" s="5"/>
      <c r="BD20" s="5"/>
      <c r="BE20" s="5"/>
      <c r="BF20" s="5"/>
      <c r="BG20" s="5"/>
    </row>
    <row r="21">
      <c r="A21" s="28" t="s">
        <v>121</v>
      </c>
      <c r="B21" s="26" t="s">
        <v>14</v>
      </c>
      <c r="C21" s="26">
        <v>9.0</v>
      </c>
      <c r="D21" s="26">
        <v>1.0</v>
      </c>
      <c r="E21" s="26">
        <v>8.0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1" t="s">
        <v>83</v>
      </c>
      <c r="Z21" s="21" t="s">
        <v>122</v>
      </c>
      <c r="AA21" s="26">
        <v>9.0</v>
      </c>
      <c r="AB21" s="26">
        <v>3.0</v>
      </c>
      <c r="AC21" s="26">
        <v>1.0</v>
      </c>
      <c r="AD21" s="26">
        <v>2.0</v>
      </c>
      <c r="AE21" s="26">
        <v>0.0</v>
      </c>
      <c r="AF21" s="26">
        <v>2.0</v>
      </c>
      <c r="AG21" s="27">
        <f t="shared" si="3"/>
        <v>0.1111111111</v>
      </c>
      <c r="AH21" s="2"/>
      <c r="AI21" s="5"/>
      <c r="AJ21" s="5"/>
      <c r="AK21" s="5"/>
      <c r="AL21" s="2"/>
      <c r="AM21" s="2"/>
      <c r="AN21" s="5"/>
      <c r="AO21" s="2"/>
      <c r="AP21" s="2"/>
      <c r="AQ21" s="2"/>
      <c r="AR21" s="5"/>
      <c r="AS21" s="5"/>
      <c r="AT21" s="5"/>
      <c r="AU21" s="5"/>
      <c r="AV21" s="5"/>
      <c r="AW21" s="5"/>
      <c r="AX21" s="5"/>
      <c r="AY21" s="5"/>
      <c r="AZ21" s="2"/>
      <c r="BA21" s="2"/>
      <c r="BB21" s="2"/>
      <c r="BC21" s="5"/>
      <c r="BD21" s="5"/>
      <c r="BE21" s="5"/>
      <c r="BF21" s="5"/>
      <c r="BG21" s="5"/>
    </row>
    <row r="22">
      <c r="A22" s="17" t="s">
        <v>123</v>
      </c>
      <c r="B22" s="18" t="s">
        <v>14</v>
      </c>
      <c r="C22" s="18">
        <v>7.0</v>
      </c>
      <c r="D22" s="18">
        <v>1.0</v>
      </c>
      <c r="E22" s="18">
        <v>6.0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2">
        <f>sum(AA10:AA21)</f>
        <v>819</v>
      </c>
      <c r="AB22" s="5"/>
      <c r="AC22" s="22">
        <f>sum(AC10:AC21)</f>
        <v>298</v>
      </c>
      <c r="AD22" s="5"/>
      <c r="AE22" s="5"/>
      <c r="AF22" s="5"/>
      <c r="AG22" s="29">
        <f t="shared" si="3"/>
        <v>0.3638583639</v>
      </c>
      <c r="AH22" s="2"/>
      <c r="AI22" s="5"/>
      <c r="AJ22" s="5"/>
      <c r="AK22" s="5"/>
      <c r="AL22" s="2"/>
      <c r="AM22" s="2"/>
      <c r="AN22" s="5"/>
      <c r="AO22" s="2"/>
      <c r="AP22" s="2"/>
      <c r="AQ22" s="2"/>
      <c r="AR22" s="5"/>
      <c r="AS22" s="5"/>
      <c r="AT22" s="5"/>
      <c r="AU22" s="5"/>
      <c r="AV22" s="5"/>
      <c r="AW22" s="5"/>
      <c r="AX22" s="5"/>
      <c r="AY22" s="5"/>
      <c r="AZ22" s="2"/>
      <c r="BA22" s="2"/>
      <c r="BB22" s="2"/>
      <c r="BC22" s="5"/>
      <c r="BD22" s="5"/>
      <c r="BE22" s="5"/>
      <c r="BF22" s="5"/>
      <c r="BG22" s="5"/>
    </row>
    <row r="23">
      <c r="A23" s="17" t="s">
        <v>124</v>
      </c>
      <c r="B23" s="18" t="s">
        <v>14</v>
      </c>
      <c r="C23" s="18">
        <v>10.0</v>
      </c>
      <c r="D23" s="18">
        <v>3.0</v>
      </c>
      <c r="E23" s="18">
        <v>7.0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5"/>
      <c r="AJ23" s="5"/>
      <c r="AK23" s="5"/>
      <c r="AL23" s="2"/>
      <c r="AM23" s="2"/>
      <c r="AN23" s="5"/>
      <c r="AO23" s="2"/>
      <c r="AP23" s="2"/>
      <c r="AQ23" s="2"/>
      <c r="AR23" s="5"/>
      <c r="AS23" s="5"/>
      <c r="AT23" s="5"/>
      <c r="AU23" s="5"/>
      <c r="AV23" s="5"/>
      <c r="AW23" s="5"/>
      <c r="AX23" s="5"/>
      <c r="AY23" s="5"/>
      <c r="AZ23" s="2"/>
      <c r="BA23" s="2"/>
      <c r="BB23" s="2"/>
      <c r="BC23" s="5"/>
      <c r="BD23" s="5"/>
      <c r="BE23" s="5"/>
      <c r="BF23" s="5"/>
      <c r="BG23" s="5"/>
    </row>
    <row r="24">
      <c r="A24" s="17" t="s">
        <v>125</v>
      </c>
      <c r="B24" s="18" t="s">
        <v>65</v>
      </c>
      <c r="C24" s="18">
        <v>3.0</v>
      </c>
      <c r="D24" s="18">
        <v>4.0</v>
      </c>
      <c r="E24" s="18">
        <v>-1.0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5"/>
      <c r="AJ24" s="5"/>
      <c r="AK24" s="5"/>
      <c r="AL24" s="2"/>
      <c r="AM24" s="2"/>
      <c r="AN24" s="5"/>
      <c r="AO24" s="2"/>
      <c r="AP24" s="2"/>
      <c r="AQ24" s="2"/>
      <c r="AR24" s="5"/>
      <c r="AS24" s="5"/>
      <c r="AT24" s="5"/>
      <c r="AU24" s="5"/>
      <c r="AV24" s="5"/>
      <c r="AW24" s="5"/>
      <c r="AX24" s="5"/>
      <c r="AY24" s="5"/>
      <c r="AZ24" s="2"/>
      <c r="BA24" s="2"/>
      <c r="BB24" s="2"/>
      <c r="BC24" s="5"/>
      <c r="BD24" s="5"/>
      <c r="BE24" s="5"/>
      <c r="BF24" s="5"/>
      <c r="BG24" s="5"/>
    </row>
    <row r="25">
      <c r="A25" s="17" t="s">
        <v>126</v>
      </c>
      <c r="B25" s="18" t="s">
        <v>14</v>
      </c>
      <c r="C25" s="18">
        <v>2.0</v>
      </c>
      <c r="D25" s="18">
        <v>0.0</v>
      </c>
      <c r="E25" s="18">
        <v>2.0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5"/>
      <c r="AJ25" s="5"/>
      <c r="AK25" s="5"/>
      <c r="AL25" s="2"/>
      <c r="AM25" s="2"/>
      <c r="AN25" s="5"/>
      <c r="AO25" s="2"/>
      <c r="AP25" s="2"/>
      <c r="AQ25" s="2"/>
      <c r="AR25" s="5"/>
      <c r="AS25" s="5"/>
      <c r="AT25" s="5"/>
      <c r="AU25" s="5"/>
      <c r="AV25" s="5"/>
      <c r="AW25" s="5"/>
      <c r="AX25" s="5"/>
      <c r="AY25" s="5"/>
      <c r="AZ25" s="2"/>
      <c r="BA25" s="2"/>
      <c r="BB25" s="2"/>
      <c r="BC25" s="5"/>
      <c r="BD25" s="5"/>
      <c r="BE25" s="5"/>
      <c r="BF25" s="5"/>
      <c r="BG25" s="5"/>
    </row>
    <row r="26">
      <c r="A26" s="17" t="s">
        <v>127</v>
      </c>
      <c r="B26" s="18" t="s">
        <v>65</v>
      </c>
      <c r="C26" s="18">
        <v>1.0</v>
      </c>
      <c r="D26" s="18">
        <v>2.0</v>
      </c>
      <c r="E26" s="18">
        <v>-1.0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5"/>
      <c r="AJ26" s="5"/>
      <c r="AK26" s="5"/>
      <c r="AL26" s="2"/>
      <c r="AM26" s="2"/>
      <c r="AN26" s="5"/>
      <c r="AO26" s="2"/>
      <c r="AP26" s="2"/>
      <c r="AQ26" s="2"/>
      <c r="AR26" s="5"/>
      <c r="AS26" s="5"/>
      <c r="AT26" s="5"/>
      <c r="AU26" s="5"/>
      <c r="AV26" s="5"/>
      <c r="AW26" s="5"/>
      <c r="AX26" s="5"/>
      <c r="AY26" s="5"/>
      <c r="AZ26" s="2"/>
      <c r="BA26" s="2"/>
      <c r="BB26" s="2"/>
      <c r="BC26" s="5"/>
      <c r="BD26" s="5"/>
      <c r="BE26" s="5"/>
      <c r="BF26" s="5"/>
      <c r="BG26" s="5"/>
    </row>
    <row r="27">
      <c r="A27" s="17" t="s">
        <v>128</v>
      </c>
      <c r="B27" s="18" t="s">
        <v>14</v>
      </c>
      <c r="C27" s="18">
        <v>10.0</v>
      </c>
      <c r="D27" s="18">
        <v>3.0</v>
      </c>
      <c r="E27" s="18">
        <v>7.0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5"/>
      <c r="AJ27" s="5"/>
      <c r="AK27" s="5"/>
      <c r="AL27" s="2"/>
      <c r="AM27" s="2"/>
      <c r="AN27" s="5"/>
      <c r="AO27" s="2"/>
      <c r="AP27" s="2"/>
      <c r="AQ27" s="2"/>
      <c r="AR27" s="5"/>
      <c r="AS27" s="5"/>
      <c r="AT27" s="5"/>
      <c r="AU27" s="5"/>
      <c r="AV27" s="5"/>
      <c r="AW27" s="5"/>
      <c r="AX27" s="5"/>
      <c r="AY27" s="5"/>
      <c r="AZ27" s="2"/>
      <c r="BA27" s="2"/>
      <c r="BB27" s="2"/>
      <c r="BC27" s="5"/>
      <c r="BD27" s="5"/>
      <c r="BE27" s="5"/>
      <c r="BF27" s="5"/>
      <c r="BG27" s="5"/>
    </row>
    <row r="28">
      <c r="A28" s="17" t="s">
        <v>129</v>
      </c>
      <c r="B28" s="18" t="s">
        <v>14</v>
      </c>
      <c r="C28" s="18">
        <v>11.0</v>
      </c>
      <c r="D28" s="18">
        <v>1.0</v>
      </c>
      <c r="E28" s="18">
        <v>10.0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5"/>
      <c r="AJ28" s="5"/>
      <c r="AK28" s="5"/>
      <c r="AL28" s="2"/>
      <c r="AM28" s="2"/>
      <c r="AN28" s="5"/>
      <c r="AO28" s="2"/>
      <c r="AP28" s="2"/>
      <c r="AQ28" s="2"/>
      <c r="AR28" s="5"/>
      <c r="AS28" s="5"/>
      <c r="AT28" s="5"/>
      <c r="AU28" s="5"/>
      <c r="AV28" s="5"/>
      <c r="AW28" s="5"/>
      <c r="AX28" s="5"/>
      <c r="AY28" s="5"/>
      <c r="AZ28" s="2"/>
      <c r="BA28" s="2"/>
      <c r="BB28" s="2"/>
      <c r="BC28" s="5"/>
      <c r="BD28" s="5"/>
      <c r="BE28" s="5"/>
      <c r="BF28" s="5"/>
      <c r="BG28" s="5"/>
    </row>
    <row r="29">
      <c r="A29" s="17" t="s">
        <v>130</v>
      </c>
      <c r="B29" s="18" t="s">
        <v>14</v>
      </c>
      <c r="C29" s="18">
        <v>8.0</v>
      </c>
      <c r="D29" s="18">
        <v>6.0</v>
      </c>
      <c r="E29" s="18">
        <v>2.0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5"/>
      <c r="AJ29" s="5"/>
      <c r="AK29" s="5"/>
      <c r="AL29" s="2"/>
      <c r="AM29" s="2"/>
      <c r="AN29" s="5"/>
      <c r="AO29" s="2"/>
      <c r="AP29" s="2"/>
      <c r="AQ29" s="2"/>
      <c r="AR29" s="5"/>
      <c r="AS29" s="5"/>
      <c r="AT29" s="5"/>
      <c r="AU29" s="5"/>
      <c r="AV29" s="5"/>
      <c r="AW29" s="5"/>
      <c r="AX29" s="5"/>
      <c r="AY29" s="5"/>
      <c r="AZ29" s="2"/>
      <c r="BA29" s="2"/>
      <c r="BB29" s="2"/>
      <c r="BC29" s="5"/>
      <c r="BD29" s="5"/>
      <c r="BE29" s="5"/>
      <c r="BF29" s="5"/>
      <c r="BG29" s="5"/>
    </row>
    <row r="30">
      <c r="A30" s="17" t="s">
        <v>131</v>
      </c>
      <c r="B30" s="18" t="s">
        <v>14</v>
      </c>
      <c r="C30" s="18">
        <v>5.0</v>
      </c>
      <c r="D30" s="18">
        <v>4.0</v>
      </c>
      <c r="E30" s="18">
        <v>1.0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5"/>
      <c r="AJ30" s="5"/>
      <c r="AK30" s="5"/>
      <c r="AL30" s="2"/>
      <c r="AM30" s="2"/>
      <c r="AN30" s="5"/>
      <c r="AO30" s="2"/>
      <c r="AP30" s="2"/>
      <c r="AQ30" s="2"/>
      <c r="AR30" s="5"/>
      <c r="AS30" s="5"/>
      <c r="AT30" s="5"/>
      <c r="AU30" s="5"/>
      <c r="AV30" s="5"/>
      <c r="AW30" s="5"/>
      <c r="AX30" s="5"/>
      <c r="AY30" s="5"/>
      <c r="AZ30" s="2"/>
      <c r="BA30" s="2"/>
      <c r="BB30" s="2"/>
      <c r="BC30" s="5"/>
      <c r="BD30" s="5"/>
      <c r="BE30" s="5"/>
      <c r="BF30" s="5"/>
      <c r="BG30" s="5"/>
    </row>
    <row r="31">
      <c r="A31" s="17" t="s">
        <v>132</v>
      </c>
      <c r="B31" s="18" t="s">
        <v>14</v>
      </c>
      <c r="C31" s="18">
        <v>15.0</v>
      </c>
      <c r="D31" s="18">
        <v>0.0</v>
      </c>
      <c r="E31" s="18">
        <v>15.0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5"/>
      <c r="AJ31" s="5"/>
      <c r="AK31" s="5"/>
      <c r="AL31" s="2"/>
      <c r="AM31" s="2"/>
      <c r="AN31" s="5"/>
      <c r="AO31" s="2"/>
      <c r="AP31" s="2"/>
      <c r="AQ31" s="2"/>
      <c r="AR31" s="5"/>
      <c r="AS31" s="5"/>
      <c r="AT31" s="5"/>
      <c r="AU31" s="5"/>
      <c r="AV31" s="5"/>
      <c r="AW31" s="5"/>
      <c r="AX31" s="5"/>
      <c r="AY31" s="5"/>
      <c r="AZ31" s="2"/>
      <c r="BA31" s="2"/>
      <c r="BB31" s="2"/>
      <c r="BC31" s="5"/>
      <c r="BD31" s="5"/>
      <c r="BE31" s="5"/>
      <c r="BF31" s="5"/>
      <c r="BG31" s="5"/>
    </row>
    <row r="32">
      <c r="A32" s="17" t="s">
        <v>133</v>
      </c>
      <c r="B32" s="18" t="s">
        <v>14</v>
      </c>
      <c r="C32" s="18">
        <v>7.0</v>
      </c>
      <c r="D32" s="18">
        <v>1.0</v>
      </c>
      <c r="E32" s="18">
        <v>6.0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5"/>
      <c r="AJ32" s="5"/>
      <c r="AK32" s="5"/>
      <c r="AL32" s="2"/>
      <c r="AM32" s="2"/>
      <c r="AN32" s="5"/>
      <c r="AO32" s="2"/>
      <c r="AP32" s="2"/>
      <c r="AQ32" s="2"/>
      <c r="AR32" s="5"/>
      <c r="AS32" s="5"/>
      <c r="AT32" s="5"/>
      <c r="AU32" s="5"/>
      <c r="AV32" s="5"/>
      <c r="AW32" s="5"/>
      <c r="AX32" s="5"/>
      <c r="AY32" s="5"/>
      <c r="AZ32" s="2"/>
      <c r="BA32" s="2"/>
      <c r="BB32" s="2"/>
      <c r="BC32" s="5"/>
      <c r="BD32" s="5"/>
      <c r="BE32" s="5"/>
      <c r="BF32" s="5"/>
      <c r="BG32" s="5"/>
    </row>
    <row r="33">
      <c r="A33" s="28" t="s">
        <v>134</v>
      </c>
      <c r="B33" s="26" t="s">
        <v>14</v>
      </c>
      <c r="C33" s="26">
        <v>5.0</v>
      </c>
      <c r="D33" s="26">
        <v>4.0</v>
      </c>
      <c r="E33" s="26">
        <v>1.0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5"/>
      <c r="AJ33" s="5"/>
      <c r="AK33" s="5"/>
      <c r="AL33" s="2"/>
      <c r="AM33" s="2"/>
      <c r="AN33" s="5"/>
      <c r="AO33" s="2"/>
      <c r="AP33" s="2"/>
      <c r="AQ33" s="2"/>
      <c r="AR33" s="5"/>
      <c r="AS33" s="5"/>
      <c r="AT33" s="5"/>
      <c r="AU33" s="5"/>
      <c r="AV33" s="5"/>
      <c r="AW33" s="5"/>
      <c r="AX33" s="5"/>
      <c r="AY33" s="5"/>
      <c r="AZ33" s="2"/>
      <c r="BA33" s="2"/>
      <c r="BB33" s="2"/>
      <c r="BC33" s="5"/>
      <c r="BD33" s="5"/>
      <c r="BE33" s="5"/>
      <c r="BF33" s="5"/>
      <c r="BG33" s="5"/>
    </row>
    <row r="34">
      <c r="A34" s="28" t="s">
        <v>135</v>
      </c>
      <c r="B34" s="26" t="s">
        <v>14</v>
      </c>
      <c r="C34" s="26">
        <v>6.0</v>
      </c>
      <c r="D34" s="26">
        <v>2.0</v>
      </c>
      <c r="E34" s="26">
        <v>4.0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5"/>
      <c r="AJ34" s="5"/>
      <c r="AK34" s="5"/>
      <c r="AL34" s="2"/>
      <c r="AM34" s="2"/>
      <c r="AN34" s="5"/>
      <c r="AO34" s="2"/>
      <c r="AP34" s="2"/>
      <c r="AQ34" s="2"/>
      <c r="AR34" s="5"/>
      <c r="AS34" s="5"/>
      <c r="AT34" s="5"/>
      <c r="AU34" s="5"/>
      <c r="AV34" s="5"/>
      <c r="AW34" s="5"/>
      <c r="AX34" s="5"/>
      <c r="AY34" s="5"/>
      <c r="AZ34" s="2"/>
      <c r="BA34" s="2"/>
      <c r="BB34" s="2"/>
      <c r="BC34" s="5"/>
      <c r="BD34" s="5"/>
      <c r="BE34" s="5"/>
      <c r="BF34" s="5"/>
      <c r="BG34" s="5"/>
    </row>
    <row r="35">
      <c r="A35" s="28" t="s">
        <v>136</v>
      </c>
      <c r="B35" s="26" t="s">
        <v>65</v>
      </c>
      <c r="C35" s="26">
        <v>0.0</v>
      </c>
      <c r="D35" s="26">
        <v>1.0</v>
      </c>
      <c r="E35" s="26">
        <v>-1.0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5"/>
      <c r="AJ35" s="5"/>
      <c r="AK35" s="5"/>
      <c r="AL35" s="2"/>
      <c r="AM35" s="2"/>
      <c r="AN35" s="5"/>
      <c r="AO35" s="2"/>
      <c r="AP35" s="2"/>
      <c r="AQ35" s="2"/>
      <c r="AR35" s="5"/>
      <c r="AS35" s="5"/>
      <c r="AT35" s="5"/>
      <c r="AU35" s="5"/>
      <c r="AV35" s="5"/>
      <c r="AW35" s="5"/>
      <c r="AX35" s="5"/>
      <c r="AY35" s="5"/>
      <c r="AZ35" s="2"/>
      <c r="BA35" s="2"/>
      <c r="BB35" s="2"/>
      <c r="BC35" s="5"/>
      <c r="BD35" s="5"/>
      <c r="BE35" s="5"/>
      <c r="BF35" s="5"/>
      <c r="BG35" s="5"/>
    </row>
    <row r="36">
      <c r="A36" s="28" t="s">
        <v>137</v>
      </c>
      <c r="B36" s="26" t="s">
        <v>14</v>
      </c>
      <c r="C36" s="26">
        <v>7.0</v>
      </c>
      <c r="D36" s="26">
        <v>1.0</v>
      </c>
      <c r="E36" s="26">
        <v>6.0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5"/>
      <c r="AJ36" s="5"/>
      <c r="AK36" s="5"/>
      <c r="AL36" s="2"/>
      <c r="AM36" s="2"/>
      <c r="AN36" s="5"/>
      <c r="AO36" s="2"/>
      <c r="AP36" s="2"/>
      <c r="AQ36" s="2"/>
      <c r="AR36" s="5"/>
      <c r="AS36" s="5"/>
      <c r="AT36" s="5"/>
      <c r="AU36" s="5"/>
      <c r="AV36" s="5"/>
      <c r="AW36" s="5"/>
      <c r="AX36" s="5"/>
      <c r="AY36" s="5"/>
      <c r="AZ36" s="2"/>
      <c r="BA36" s="2"/>
      <c r="BB36" s="2"/>
      <c r="BC36" s="5"/>
      <c r="BD36" s="5"/>
      <c r="BE36" s="5"/>
      <c r="BF36" s="5"/>
      <c r="BG36" s="5"/>
    </row>
    <row r="37">
      <c r="A37" s="28" t="s">
        <v>138</v>
      </c>
      <c r="B37" s="26" t="s">
        <v>14</v>
      </c>
      <c r="C37" s="26">
        <v>7.0</v>
      </c>
      <c r="D37" s="26">
        <v>6.0</v>
      </c>
      <c r="E37" s="26">
        <v>1.0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5"/>
      <c r="AJ37" s="5"/>
      <c r="AK37" s="5"/>
      <c r="AL37" s="2"/>
      <c r="AM37" s="2"/>
      <c r="AN37" s="5"/>
      <c r="AO37" s="2"/>
      <c r="AP37" s="2"/>
      <c r="AQ37" s="2"/>
      <c r="AR37" s="5"/>
      <c r="AS37" s="5"/>
      <c r="AT37" s="5"/>
      <c r="AU37" s="5"/>
      <c r="AV37" s="5"/>
      <c r="AW37" s="5"/>
      <c r="AX37" s="5"/>
      <c r="AY37" s="5"/>
      <c r="AZ37" s="2"/>
      <c r="BA37" s="2"/>
      <c r="BB37" s="2"/>
      <c r="BC37" s="5"/>
      <c r="BD37" s="5"/>
      <c r="BE37" s="5"/>
      <c r="BF37" s="5"/>
      <c r="BG37" s="5"/>
    </row>
    <row r="38">
      <c r="A38" s="28" t="s">
        <v>139</v>
      </c>
      <c r="B38" s="26" t="s">
        <v>14</v>
      </c>
      <c r="C38" s="26">
        <v>3.0</v>
      </c>
      <c r="D38" s="26">
        <v>1.0</v>
      </c>
      <c r="E38" s="26">
        <v>2.0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5"/>
      <c r="AJ38" s="5"/>
      <c r="AK38" s="5"/>
      <c r="AL38" s="2"/>
      <c r="AM38" s="2"/>
      <c r="AN38" s="5"/>
      <c r="AO38" s="2"/>
      <c r="AP38" s="2"/>
      <c r="AQ38" s="2"/>
      <c r="AR38" s="5"/>
      <c r="AS38" s="5"/>
      <c r="AT38" s="5"/>
      <c r="AU38" s="5"/>
      <c r="AV38" s="5"/>
      <c r="AW38" s="5"/>
      <c r="AX38" s="5"/>
      <c r="AY38" s="5"/>
      <c r="AZ38" s="2"/>
      <c r="BA38" s="2"/>
      <c r="BB38" s="2"/>
      <c r="BC38" s="5"/>
      <c r="BD38" s="5"/>
      <c r="BE38" s="5"/>
      <c r="BF38" s="5"/>
      <c r="BG38" s="5"/>
    </row>
    <row r="39">
      <c r="A39" s="28" t="s">
        <v>140</v>
      </c>
      <c r="B39" s="26" t="s">
        <v>14</v>
      </c>
      <c r="C39" s="26">
        <v>11.0</v>
      </c>
      <c r="D39" s="26">
        <v>0.0</v>
      </c>
      <c r="E39" s="26">
        <v>11.0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5"/>
      <c r="AJ39" s="5"/>
      <c r="AK39" s="5"/>
      <c r="AL39" s="2"/>
      <c r="AM39" s="2"/>
      <c r="AN39" s="5"/>
      <c r="AO39" s="2"/>
      <c r="AP39" s="2"/>
      <c r="AQ39" s="2"/>
      <c r="AR39" s="5"/>
      <c r="AS39" s="5"/>
      <c r="AT39" s="5"/>
      <c r="AU39" s="5"/>
      <c r="AV39" s="5"/>
      <c r="AW39" s="5"/>
      <c r="AX39" s="5"/>
      <c r="AY39" s="5"/>
      <c r="AZ39" s="2"/>
      <c r="BA39" s="2"/>
      <c r="BB39" s="2"/>
      <c r="BC39" s="5"/>
      <c r="BD39" s="5"/>
      <c r="BE39" s="5"/>
      <c r="BF39" s="5"/>
      <c r="BG39" s="5"/>
    </row>
    <row r="40">
      <c r="A40" s="28" t="s">
        <v>141</v>
      </c>
      <c r="B40" s="26" t="s">
        <v>14</v>
      </c>
      <c r="C40" s="26">
        <v>4.0</v>
      </c>
      <c r="D40" s="26">
        <v>3.0</v>
      </c>
      <c r="E40" s="26">
        <v>1.0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5"/>
      <c r="AJ40" s="5"/>
      <c r="AK40" s="5"/>
      <c r="AL40" s="2"/>
      <c r="AM40" s="2"/>
      <c r="AN40" s="5"/>
      <c r="AO40" s="2"/>
      <c r="AP40" s="2"/>
      <c r="AQ40" s="2"/>
      <c r="AR40" s="5"/>
      <c r="AS40" s="5"/>
      <c r="AT40" s="5"/>
      <c r="AU40" s="5"/>
      <c r="AV40" s="5"/>
      <c r="AW40" s="5"/>
      <c r="AX40" s="5"/>
      <c r="AY40" s="5"/>
      <c r="AZ40" s="2"/>
      <c r="BA40" s="2"/>
      <c r="BB40" s="2"/>
      <c r="BC40" s="5"/>
      <c r="BD40" s="5"/>
      <c r="BE40" s="5"/>
      <c r="BF40" s="5"/>
      <c r="BG40" s="5"/>
    </row>
    <row r="41">
      <c r="A41" s="28" t="s">
        <v>142</v>
      </c>
      <c r="B41" s="26" t="s">
        <v>65</v>
      </c>
      <c r="C41" s="26">
        <v>3.0</v>
      </c>
      <c r="D41" s="26">
        <v>13.0</v>
      </c>
      <c r="E41" s="26">
        <v>-10.0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5"/>
      <c r="AJ41" s="5"/>
      <c r="AK41" s="5"/>
      <c r="AL41" s="2"/>
      <c r="AM41" s="2"/>
      <c r="AN41" s="5"/>
      <c r="AO41" s="2"/>
      <c r="AP41" s="2"/>
      <c r="AQ41" s="2"/>
      <c r="AR41" s="5"/>
      <c r="AS41" s="5"/>
      <c r="AT41" s="5"/>
      <c r="AU41" s="5"/>
      <c r="AV41" s="5"/>
      <c r="AW41" s="5"/>
      <c r="AX41" s="5"/>
      <c r="AY41" s="5"/>
      <c r="AZ41" s="2"/>
      <c r="BA41" s="2"/>
      <c r="BB41" s="2"/>
      <c r="BC41" s="5"/>
      <c r="BD41" s="5"/>
      <c r="BE41" s="5"/>
      <c r="BF41" s="5"/>
      <c r="BG41" s="5"/>
    </row>
    <row r="42">
      <c r="A42" s="28" t="s">
        <v>143</v>
      </c>
      <c r="B42" s="26" t="s">
        <v>65</v>
      </c>
      <c r="C42" s="26">
        <v>3.0</v>
      </c>
      <c r="D42" s="26">
        <v>5.0</v>
      </c>
      <c r="E42" s="26">
        <v>-2.0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5"/>
      <c r="AJ42" s="5"/>
      <c r="AK42" s="5"/>
      <c r="AL42" s="2"/>
      <c r="AM42" s="2"/>
      <c r="AN42" s="5"/>
      <c r="AO42" s="2"/>
      <c r="AP42" s="2"/>
      <c r="AQ42" s="2"/>
      <c r="AR42" s="5"/>
      <c r="AS42" s="5"/>
      <c r="AT42" s="5"/>
      <c r="AU42" s="5"/>
      <c r="AV42" s="5"/>
      <c r="AW42" s="5"/>
      <c r="AX42" s="5"/>
      <c r="AY42" s="5"/>
      <c r="AZ42" s="2"/>
      <c r="BA42" s="2"/>
      <c r="BB42" s="2"/>
      <c r="BC42" s="5"/>
      <c r="BD42" s="5"/>
      <c r="BE42" s="5"/>
      <c r="BF42" s="5"/>
      <c r="BG42" s="5"/>
    </row>
    <row r="43">
      <c r="A43" s="28" t="s">
        <v>144</v>
      </c>
      <c r="B43" s="26" t="s">
        <v>14</v>
      </c>
      <c r="C43" s="26">
        <v>6.0</v>
      </c>
      <c r="D43" s="26">
        <v>1.0</v>
      </c>
      <c r="E43" s="26">
        <v>5.0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5"/>
      <c r="AJ43" s="5"/>
      <c r="AK43" s="5"/>
      <c r="AL43" s="2"/>
      <c r="AM43" s="2"/>
      <c r="AN43" s="5"/>
      <c r="AO43" s="2"/>
      <c r="AP43" s="2"/>
      <c r="AQ43" s="2"/>
      <c r="AR43" s="5"/>
      <c r="AS43" s="5"/>
      <c r="AT43" s="5"/>
      <c r="AU43" s="5"/>
      <c r="AV43" s="5"/>
      <c r="AW43" s="5"/>
      <c r="AX43" s="5"/>
      <c r="AY43" s="5"/>
      <c r="AZ43" s="2"/>
      <c r="BA43" s="2"/>
      <c r="BB43" s="2"/>
      <c r="BC43" s="5"/>
      <c r="BD43" s="5"/>
      <c r="BE43" s="5"/>
      <c r="BF43" s="5"/>
      <c r="BG43" s="5"/>
    </row>
    <row r="44">
      <c r="A44" s="28" t="s">
        <v>145</v>
      </c>
      <c r="B44" s="26" t="s">
        <v>65</v>
      </c>
      <c r="C44" s="26">
        <v>5.0</v>
      </c>
      <c r="D44" s="26">
        <v>6.0</v>
      </c>
      <c r="E44" s="26">
        <v>-1.0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5"/>
      <c r="AJ44" s="5"/>
      <c r="AK44" s="5"/>
      <c r="AL44" s="2"/>
      <c r="AM44" s="2"/>
      <c r="AN44" s="5"/>
      <c r="AO44" s="2"/>
      <c r="AP44" s="2"/>
      <c r="AQ44" s="2"/>
      <c r="AR44" s="5"/>
      <c r="AS44" s="5"/>
      <c r="AT44" s="5"/>
      <c r="AU44" s="5"/>
      <c r="AV44" s="5"/>
      <c r="AW44" s="5"/>
      <c r="AX44" s="5"/>
      <c r="AY44" s="5"/>
      <c r="AZ44" s="2"/>
      <c r="BA44" s="2"/>
      <c r="BB44" s="2"/>
      <c r="BC44" s="5"/>
      <c r="BD44" s="5"/>
      <c r="BE44" s="5"/>
      <c r="BF44" s="5"/>
      <c r="BG44" s="5"/>
    </row>
    <row r="45">
      <c r="A45" s="28" t="s">
        <v>146</v>
      </c>
      <c r="B45" s="26" t="s">
        <v>14</v>
      </c>
      <c r="C45" s="26">
        <v>6.0</v>
      </c>
      <c r="D45" s="26">
        <v>1.0</v>
      </c>
      <c r="E45" s="26">
        <v>5.0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5"/>
      <c r="AJ45" s="5"/>
      <c r="AK45" s="5"/>
      <c r="AL45" s="2"/>
      <c r="AM45" s="2"/>
      <c r="AN45" s="5"/>
      <c r="AO45" s="2"/>
      <c r="AP45" s="2"/>
      <c r="AQ45" s="2"/>
      <c r="AR45" s="5"/>
      <c r="AS45" s="5"/>
      <c r="AT45" s="5"/>
      <c r="AU45" s="5"/>
      <c r="AV45" s="5"/>
      <c r="AW45" s="5"/>
      <c r="AX45" s="5"/>
      <c r="AY45" s="5"/>
      <c r="AZ45" s="2"/>
      <c r="BA45" s="2"/>
      <c r="BB45" s="2"/>
      <c r="BC45" s="5"/>
      <c r="BD45" s="5"/>
      <c r="BE45" s="5"/>
      <c r="BF45" s="5"/>
      <c r="BG45" s="5"/>
    </row>
    <row r="46">
      <c r="A46" s="28" t="s">
        <v>147</v>
      </c>
      <c r="B46" s="26" t="s">
        <v>14</v>
      </c>
      <c r="C46" s="26">
        <v>3.0</v>
      </c>
      <c r="D46" s="26">
        <v>0.0</v>
      </c>
      <c r="E46" s="26">
        <v>3.0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5"/>
      <c r="AJ46" s="5"/>
      <c r="AK46" s="5"/>
      <c r="AL46" s="2"/>
      <c r="AM46" s="2"/>
      <c r="AN46" s="5"/>
      <c r="AO46" s="2"/>
      <c r="AP46" s="2"/>
      <c r="AQ46" s="2"/>
      <c r="AR46" s="5"/>
      <c r="AS46" s="5"/>
      <c r="AT46" s="5"/>
      <c r="AU46" s="5"/>
      <c r="AV46" s="5"/>
      <c r="AW46" s="5"/>
      <c r="AX46" s="5"/>
      <c r="AY46" s="5"/>
      <c r="AZ46" s="2"/>
      <c r="BA46" s="2"/>
      <c r="BB46" s="2"/>
      <c r="BC46" s="5"/>
      <c r="BD46" s="5"/>
      <c r="BE46" s="5"/>
      <c r="BF46" s="5"/>
      <c r="BG46" s="5"/>
    </row>
    <row r="47">
      <c r="A47" s="30" t="s">
        <v>148</v>
      </c>
      <c r="B47" s="31" t="s">
        <v>14</v>
      </c>
      <c r="C47" s="31">
        <v>4.0</v>
      </c>
      <c r="D47" s="31">
        <v>3.0</v>
      </c>
      <c r="E47" s="31">
        <v>1.0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5"/>
      <c r="AJ47" s="5"/>
      <c r="AK47" s="5"/>
      <c r="AL47" s="2"/>
      <c r="AM47" s="2"/>
      <c r="AN47" s="5"/>
      <c r="AO47" s="2"/>
      <c r="AP47" s="2"/>
      <c r="AQ47" s="2"/>
      <c r="AR47" s="5"/>
      <c r="AS47" s="5"/>
      <c r="AT47" s="5"/>
      <c r="AU47" s="5"/>
      <c r="AV47" s="5"/>
      <c r="AW47" s="5"/>
      <c r="AX47" s="5"/>
      <c r="AY47" s="5"/>
      <c r="AZ47" s="2"/>
      <c r="BA47" s="2"/>
      <c r="BB47" s="2"/>
      <c r="BC47" s="5"/>
      <c r="BD47" s="5"/>
      <c r="BE47" s="5"/>
      <c r="BF47" s="5"/>
      <c r="BG47" s="5"/>
    </row>
    <row r="48">
      <c r="A48" s="32" t="s">
        <v>149</v>
      </c>
      <c r="B48" s="33"/>
      <c r="C48" s="34">
        <f t="shared" ref="C48:D48" si="4">sum(C9:C47)</f>
        <v>262</v>
      </c>
      <c r="D48" s="34">
        <f t="shared" si="4"/>
        <v>113</v>
      </c>
      <c r="E48" s="34">
        <f>minus(C48,D48)</f>
        <v>149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5"/>
      <c r="AJ48" s="5"/>
      <c r="AK48" s="5"/>
      <c r="AL48" s="2"/>
      <c r="AM48" s="2"/>
      <c r="AN48" s="5"/>
      <c r="AO48" s="2"/>
      <c r="AP48" s="2"/>
      <c r="AQ48" s="2"/>
      <c r="AR48" s="5"/>
      <c r="AS48" s="5"/>
      <c r="AT48" s="5"/>
      <c r="AU48" s="5"/>
      <c r="AV48" s="5"/>
      <c r="AW48" s="5"/>
      <c r="AX48" s="5"/>
      <c r="AY48" s="5"/>
      <c r="AZ48" s="2"/>
      <c r="BA48" s="2"/>
      <c r="BB48" s="2"/>
      <c r="BC48" s="5"/>
      <c r="BD48" s="5"/>
      <c r="BE48" s="5"/>
      <c r="BF48" s="5"/>
      <c r="BG48" s="5"/>
    </row>
    <row r="49">
      <c r="A49" s="5"/>
      <c r="B49" s="5"/>
      <c r="C49" s="5"/>
      <c r="D49" s="5"/>
      <c r="E49" s="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5"/>
      <c r="AJ49" s="5"/>
      <c r="AK49" s="5"/>
      <c r="AL49" s="2"/>
      <c r="AM49" s="2"/>
      <c r="AN49" s="5"/>
      <c r="AO49" s="2"/>
      <c r="AP49" s="2"/>
      <c r="AQ49" s="2"/>
      <c r="AR49" s="5"/>
      <c r="AS49" s="5"/>
      <c r="AT49" s="5"/>
      <c r="AU49" s="5"/>
      <c r="AV49" s="2"/>
      <c r="AW49" s="2"/>
      <c r="AX49" s="2"/>
      <c r="AY49" s="5"/>
      <c r="AZ49" s="2"/>
      <c r="BA49" s="2"/>
      <c r="BB49" s="2"/>
      <c r="BC49" s="5"/>
      <c r="BD49" s="5"/>
      <c r="BE49" s="5"/>
      <c r="BF49" s="5"/>
      <c r="BG49" s="5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5"/>
      <c r="AS50" s="2"/>
      <c r="AT50" s="2"/>
      <c r="AU50" s="2"/>
      <c r="AV50" s="5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5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5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5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5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35"/>
      <c r="AM56" s="2"/>
      <c r="AN56" s="2"/>
      <c r="AO56" s="2"/>
      <c r="AP56" s="2"/>
      <c r="AQ56" s="2"/>
      <c r="AR56" s="5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5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5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5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5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5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5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5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5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5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5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5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5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5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5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5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5"/>
      <c r="BA72" s="2"/>
      <c r="BB72" s="2"/>
      <c r="BC72" s="2"/>
      <c r="BD72" s="2"/>
      <c r="BE72" s="2"/>
      <c r="BF72" s="2"/>
      <c r="BG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5"/>
      <c r="BA73" s="2"/>
      <c r="BB73" s="2"/>
      <c r="BC73" s="2"/>
      <c r="BD73" s="2"/>
      <c r="BE73" s="2"/>
      <c r="BF73" s="2"/>
      <c r="BG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5"/>
      <c r="BA74" s="2"/>
      <c r="BB74" s="2"/>
      <c r="BC74" s="2"/>
      <c r="BD74" s="2"/>
      <c r="BE74" s="2"/>
      <c r="BF74" s="2"/>
      <c r="BG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5"/>
      <c r="BA75" s="2"/>
      <c r="BB75" s="2"/>
      <c r="BC75" s="2"/>
      <c r="BD75" s="2"/>
      <c r="BE75" s="2"/>
      <c r="BF75" s="2"/>
      <c r="BG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5"/>
      <c r="BA76" s="2"/>
      <c r="BB76" s="2"/>
      <c r="BC76" s="2"/>
      <c r="BD76" s="2"/>
      <c r="BE76" s="2"/>
      <c r="BF76" s="2"/>
      <c r="BG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5"/>
      <c r="BA77" s="2"/>
      <c r="BB77" s="2"/>
      <c r="BC77" s="2"/>
      <c r="BD77" s="2"/>
      <c r="BE77" s="2"/>
      <c r="BF77" s="2"/>
      <c r="BG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36"/>
      <c r="BA573" s="36"/>
      <c r="BB573" s="36"/>
      <c r="BC573" s="36"/>
      <c r="BD573" s="36"/>
      <c r="BE573" s="36"/>
      <c r="BF573" s="36"/>
      <c r="BG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36"/>
      <c r="BA575" s="36"/>
      <c r="BB575" s="36"/>
      <c r="BC575" s="36"/>
      <c r="BD575" s="36"/>
      <c r="BE575" s="36"/>
      <c r="BF575" s="36"/>
      <c r="BG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36"/>
      <c r="BA576" s="36"/>
      <c r="BB576" s="36"/>
      <c r="BC576" s="36"/>
      <c r="BD576" s="36"/>
      <c r="BE576" s="36"/>
      <c r="BF576" s="36"/>
      <c r="BG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36"/>
      <c r="BA577" s="36"/>
      <c r="BB577" s="36"/>
      <c r="BC577" s="36"/>
      <c r="BD577" s="36"/>
      <c r="BE577" s="36"/>
      <c r="BF577" s="36"/>
      <c r="BG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36"/>
      <c r="BA578" s="36"/>
      <c r="BB578" s="36"/>
      <c r="BC578" s="36"/>
      <c r="BD578" s="36"/>
      <c r="BE578" s="36"/>
      <c r="BF578" s="36"/>
      <c r="BG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36"/>
      <c r="BA579" s="36"/>
      <c r="BB579" s="36"/>
      <c r="BC579" s="36"/>
      <c r="BD579" s="36"/>
      <c r="BE579" s="36"/>
      <c r="BF579" s="36"/>
      <c r="BG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36"/>
      <c r="BA580" s="36"/>
      <c r="BB580" s="36"/>
      <c r="BC580" s="36"/>
      <c r="BD580" s="36"/>
      <c r="BE580" s="36"/>
      <c r="BF580" s="36"/>
      <c r="BG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36"/>
      <c r="BA581" s="36"/>
      <c r="BB581" s="36"/>
      <c r="BC581" s="36"/>
      <c r="BD581" s="36"/>
      <c r="BE581" s="36"/>
      <c r="BF581" s="36"/>
      <c r="BG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36"/>
      <c r="BA582" s="36"/>
      <c r="BB582" s="36"/>
      <c r="BC582" s="36"/>
      <c r="BD582" s="36"/>
      <c r="BE582" s="36"/>
      <c r="BF582" s="36"/>
      <c r="BG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36"/>
      <c r="BA583" s="36"/>
      <c r="BB583" s="36"/>
      <c r="BC583" s="36"/>
      <c r="BD583" s="36"/>
      <c r="BE583" s="36"/>
      <c r="BF583" s="36"/>
      <c r="BG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36"/>
      <c r="BA584" s="36"/>
      <c r="BB584" s="36"/>
      <c r="BC584" s="36"/>
      <c r="BD584" s="36"/>
      <c r="BE584" s="36"/>
      <c r="BF584" s="36"/>
      <c r="BG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36"/>
      <c r="BA585" s="36"/>
      <c r="BB585" s="36"/>
      <c r="BC585" s="36"/>
      <c r="BD585" s="36"/>
      <c r="BE585" s="36"/>
      <c r="BF585" s="36"/>
      <c r="BG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36"/>
      <c r="BA586" s="36"/>
      <c r="BB586" s="36"/>
      <c r="BC586" s="36"/>
      <c r="BD586" s="36"/>
      <c r="BE586" s="36"/>
      <c r="BF586" s="36"/>
      <c r="BG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36"/>
      <c r="BA587" s="36"/>
      <c r="BB587" s="36"/>
      <c r="BC587" s="36"/>
      <c r="BD587" s="36"/>
      <c r="BE587" s="36"/>
      <c r="BF587" s="36"/>
      <c r="BG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36"/>
      <c r="BA588" s="36"/>
      <c r="BB588" s="36"/>
      <c r="BC588" s="36"/>
      <c r="BD588" s="36"/>
      <c r="BE588" s="36"/>
      <c r="BF588" s="36"/>
      <c r="BG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36"/>
      <c r="BA589" s="36"/>
      <c r="BB589" s="36"/>
      <c r="BC589" s="36"/>
      <c r="BD589" s="36"/>
      <c r="BE589" s="36"/>
      <c r="BF589" s="36"/>
      <c r="BG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36"/>
      <c r="BA590" s="36"/>
      <c r="BB590" s="36"/>
      <c r="BC590" s="36"/>
      <c r="BD590" s="36"/>
      <c r="BE590" s="36"/>
      <c r="BF590" s="36"/>
      <c r="BG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36"/>
      <c r="BA591" s="36"/>
      <c r="BB591" s="36"/>
      <c r="BC591" s="36"/>
      <c r="BD591" s="36"/>
      <c r="BE591" s="36"/>
      <c r="BF591" s="36"/>
      <c r="BG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36"/>
      <c r="BA592" s="36"/>
      <c r="BB592" s="36"/>
      <c r="BC592" s="36"/>
      <c r="BD592" s="36"/>
      <c r="BE592" s="36"/>
      <c r="BF592" s="36"/>
      <c r="BG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36"/>
      <c r="BA593" s="36"/>
      <c r="BB593" s="36"/>
      <c r="BC593" s="36"/>
      <c r="BD593" s="36"/>
      <c r="BE593" s="36"/>
      <c r="BF593" s="36"/>
      <c r="BG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36"/>
      <c r="BA594" s="36"/>
      <c r="BB594" s="36"/>
      <c r="BC594" s="36"/>
      <c r="BD594" s="36"/>
      <c r="BE594" s="36"/>
      <c r="BF594" s="36"/>
      <c r="BG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36"/>
      <c r="BA595" s="36"/>
      <c r="BB595" s="36"/>
      <c r="BC595" s="36"/>
      <c r="BD595" s="36"/>
      <c r="BE595" s="36"/>
      <c r="BF595" s="36"/>
      <c r="BG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36"/>
      <c r="BA596" s="36"/>
      <c r="BB596" s="36"/>
      <c r="BC596" s="36"/>
      <c r="BD596" s="36"/>
      <c r="BE596" s="36"/>
      <c r="BF596" s="36"/>
      <c r="BG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36"/>
      <c r="BA597" s="36"/>
      <c r="BB597" s="36"/>
      <c r="BC597" s="36"/>
      <c r="BD597" s="36"/>
      <c r="BE597" s="36"/>
      <c r="BF597" s="36"/>
      <c r="BG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36"/>
      <c r="BA598" s="36"/>
      <c r="BB598" s="36"/>
      <c r="BC598" s="36"/>
      <c r="BD598" s="36"/>
      <c r="BE598" s="36"/>
      <c r="BF598" s="36"/>
      <c r="BG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36"/>
      <c r="BA599" s="36"/>
      <c r="BB599" s="36"/>
      <c r="BC599" s="36"/>
      <c r="BD599" s="36"/>
      <c r="BE599" s="36"/>
      <c r="BF599" s="36"/>
      <c r="BG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36"/>
      <c r="BA600" s="36"/>
      <c r="BB600" s="36"/>
      <c r="BC600" s="36"/>
      <c r="BD600" s="36"/>
      <c r="BE600" s="36"/>
      <c r="BF600" s="36"/>
      <c r="BG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36"/>
      <c r="BA602" s="36"/>
      <c r="BB602" s="36"/>
      <c r="BC602" s="36"/>
      <c r="BD602" s="36"/>
      <c r="BE602" s="36"/>
      <c r="BF602" s="36"/>
      <c r="BG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36"/>
      <c r="BA603" s="36"/>
      <c r="BB603" s="36"/>
      <c r="BC603" s="36"/>
      <c r="BD603" s="36"/>
      <c r="BE603" s="36"/>
      <c r="BF603" s="36"/>
      <c r="BG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36"/>
      <c r="BA604" s="36"/>
      <c r="BB604" s="36"/>
      <c r="BC604" s="36"/>
      <c r="BD604" s="36"/>
      <c r="BE604" s="36"/>
      <c r="BF604" s="36"/>
      <c r="BG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36"/>
      <c r="BA605" s="36"/>
      <c r="BB605" s="36"/>
      <c r="BC605" s="36"/>
      <c r="BD605" s="36"/>
      <c r="BE605" s="36"/>
      <c r="BF605" s="36"/>
      <c r="BG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36"/>
      <c r="BA607" s="36"/>
      <c r="BB607" s="36"/>
      <c r="BC607" s="36"/>
      <c r="BD607" s="36"/>
      <c r="BE607" s="36"/>
      <c r="BF607" s="36"/>
      <c r="BG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36"/>
      <c r="BA608" s="36"/>
      <c r="BB608" s="36"/>
      <c r="BC608" s="36"/>
      <c r="BD608" s="36"/>
      <c r="BE608" s="36"/>
      <c r="BF608" s="36"/>
      <c r="BG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36"/>
      <c r="BA609" s="36"/>
      <c r="BB609" s="36"/>
      <c r="BC609" s="36"/>
      <c r="BD609" s="36"/>
      <c r="BE609" s="36"/>
      <c r="BF609" s="36"/>
      <c r="BG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36"/>
      <c r="BA610" s="36"/>
      <c r="BB610" s="36"/>
      <c r="BC610" s="36"/>
      <c r="BD610" s="36"/>
      <c r="BE610" s="36"/>
      <c r="BF610" s="36"/>
      <c r="BG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36"/>
      <c r="BA612" s="36"/>
      <c r="BB612" s="36"/>
      <c r="BC612" s="36"/>
      <c r="BD612" s="36"/>
      <c r="BE612" s="36"/>
      <c r="BF612" s="36"/>
      <c r="BG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36"/>
      <c r="BA613" s="36"/>
      <c r="BB613" s="36"/>
      <c r="BC613" s="36"/>
      <c r="BD613" s="36"/>
      <c r="BE613" s="36"/>
      <c r="BF613" s="36"/>
      <c r="BG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36"/>
      <c r="BA614" s="36"/>
      <c r="BB614" s="36"/>
      <c r="BC614" s="36"/>
      <c r="BD614" s="36"/>
      <c r="BE614" s="36"/>
      <c r="BF614" s="36"/>
      <c r="BG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36"/>
      <c r="BA615" s="36"/>
      <c r="BB615" s="36"/>
      <c r="BC615" s="36"/>
      <c r="BD615" s="36"/>
      <c r="BE615" s="36"/>
      <c r="BF615" s="36"/>
      <c r="BG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36"/>
      <c r="BA617" s="36"/>
      <c r="BB617" s="36"/>
      <c r="BC617" s="36"/>
      <c r="BD617" s="36"/>
      <c r="BE617" s="36"/>
      <c r="BF617" s="36"/>
      <c r="BG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36"/>
      <c r="BA618" s="36"/>
      <c r="BB618" s="36"/>
      <c r="BC618" s="36"/>
      <c r="BD618" s="36"/>
      <c r="BE618" s="36"/>
      <c r="BF618" s="36"/>
      <c r="BG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36"/>
      <c r="BA619" s="36"/>
      <c r="BB619" s="36"/>
      <c r="BC619" s="36"/>
      <c r="BD619" s="36"/>
      <c r="BE619" s="36"/>
      <c r="BF619" s="36"/>
      <c r="BG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36"/>
      <c r="BA620" s="36"/>
      <c r="BB620" s="36"/>
      <c r="BC620" s="36"/>
      <c r="BD620" s="36"/>
      <c r="BE620" s="36"/>
      <c r="BF620" s="36"/>
      <c r="BG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36"/>
      <c r="BA622" s="36"/>
      <c r="BB622" s="36"/>
      <c r="BC622" s="36"/>
      <c r="BD622" s="36"/>
      <c r="BE622" s="36"/>
      <c r="BF622" s="36"/>
      <c r="BG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36"/>
      <c r="BA623" s="36"/>
      <c r="BB623" s="36"/>
      <c r="BC623" s="36"/>
      <c r="BD623" s="36"/>
      <c r="BE623" s="36"/>
      <c r="BF623" s="36"/>
      <c r="BG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36"/>
      <c r="BA624" s="36"/>
      <c r="BB624" s="36"/>
      <c r="BC624" s="36"/>
      <c r="BD624" s="36"/>
      <c r="BE624" s="36"/>
      <c r="BF624" s="36"/>
      <c r="BG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36"/>
      <c r="BA625" s="36"/>
      <c r="BB625" s="36"/>
      <c r="BC625" s="36"/>
      <c r="BD625" s="36"/>
      <c r="BE625" s="36"/>
      <c r="BF625" s="36"/>
      <c r="BG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36"/>
      <c r="BA627" s="36"/>
      <c r="BB627" s="36"/>
      <c r="BC627" s="36"/>
      <c r="BD627" s="36"/>
      <c r="BE627" s="36"/>
      <c r="BF627" s="36"/>
      <c r="BG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36"/>
      <c r="BA628" s="36"/>
      <c r="BB628" s="36"/>
      <c r="BC628" s="36"/>
      <c r="BD628" s="36"/>
      <c r="BE628" s="36"/>
      <c r="BF628" s="36"/>
      <c r="BG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36"/>
      <c r="BA629" s="36"/>
      <c r="BB629" s="36"/>
      <c r="BC629" s="36"/>
      <c r="BD629" s="36"/>
      <c r="BE629" s="36"/>
      <c r="BF629" s="36"/>
      <c r="BG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36"/>
      <c r="BA630" s="36"/>
      <c r="BB630" s="36"/>
      <c r="BC630" s="36"/>
      <c r="BD630" s="36"/>
      <c r="BE630" s="36"/>
      <c r="BF630" s="36"/>
      <c r="BG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36"/>
      <c r="BA632" s="36"/>
      <c r="BB632" s="36"/>
      <c r="BC632" s="36"/>
      <c r="BD632" s="36"/>
      <c r="BE632" s="36"/>
      <c r="BF632" s="36"/>
      <c r="BG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36"/>
      <c r="BA633" s="36"/>
      <c r="BB633" s="36"/>
      <c r="BC633" s="36"/>
      <c r="BD633" s="36"/>
      <c r="BE633" s="36"/>
      <c r="BF633" s="36"/>
      <c r="BG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36"/>
      <c r="BA634" s="36"/>
      <c r="BB634" s="36"/>
      <c r="BC634" s="36"/>
      <c r="BD634" s="36"/>
      <c r="BE634" s="36"/>
      <c r="BF634" s="36"/>
      <c r="BG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36"/>
      <c r="BA636" s="36"/>
      <c r="BB636" s="36"/>
      <c r="BC636" s="36"/>
      <c r="BD636" s="36"/>
      <c r="BE636" s="36"/>
      <c r="BF636" s="36"/>
      <c r="BG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36"/>
      <c r="BA637" s="36"/>
      <c r="BB637" s="36"/>
      <c r="BC637" s="36"/>
      <c r="BD637" s="36"/>
      <c r="BE637" s="36"/>
      <c r="BF637" s="36"/>
      <c r="BG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36"/>
      <c r="BA639" s="36"/>
      <c r="BB639" s="36"/>
      <c r="BC639" s="36"/>
      <c r="BD639" s="36"/>
      <c r="BE639" s="36"/>
      <c r="BF639" s="36"/>
      <c r="BG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36"/>
      <c r="BA640" s="36"/>
      <c r="BB640" s="36"/>
      <c r="BC640" s="36"/>
      <c r="BD640" s="36"/>
      <c r="BE640" s="36"/>
      <c r="BF640" s="36"/>
      <c r="BG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36"/>
      <c r="BA642" s="36"/>
      <c r="BB642" s="36"/>
      <c r="BC642" s="36"/>
      <c r="BD642" s="36"/>
      <c r="BE642" s="36"/>
      <c r="BF642" s="36"/>
      <c r="BG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36"/>
      <c r="BA643" s="36"/>
      <c r="BB643" s="36"/>
      <c r="BC643" s="36"/>
      <c r="BD643" s="36"/>
      <c r="BE643" s="36"/>
      <c r="BF643" s="36"/>
      <c r="BG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36"/>
      <c r="BA644" s="36"/>
      <c r="BB644" s="36"/>
      <c r="BC644" s="36"/>
      <c r="BD644" s="36"/>
      <c r="BE644" s="36"/>
      <c r="BF644" s="36"/>
      <c r="BG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36"/>
      <c r="BA645" s="36"/>
      <c r="BB645" s="36"/>
      <c r="BC645" s="36"/>
      <c r="BD645" s="36"/>
      <c r="BE645" s="36"/>
      <c r="BF645" s="36"/>
      <c r="BG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36"/>
      <c r="BA646" s="36"/>
      <c r="BB646" s="36"/>
      <c r="BC646" s="36"/>
      <c r="BD646" s="36"/>
      <c r="BE646" s="36"/>
      <c r="BF646" s="36"/>
      <c r="BG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36"/>
      <c r="BA648" s="36"/>
      <c r="BB648" s="36"/>
      <c r="BC648" s="36"/>
      <c r="BD648" s="36"/>
      <c r="BE648" s="36"/>
      <c r="BF648" s="36"/>
      <c r="BG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36"/>
      <c r="BA649" s="36"/>
      <c r="BB649" s="36"/>
      <c r="BC649" s="36"/>
      <c r="BD649" s="36"/>
      <c r="BE649" s="36"/>
      <c r="BF649" s="36"/>
      <c r="BG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36"/>
      <c r="BA650" s="36"/>
      <c r="BB650" s="36"/>
      <c r="BC650" s="36"/>
      <c r="BD650" s="36"/>
      <c r="BE650" s="36"/>
      <c r="BF650" s="36"/>
      <c r="BG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36"/>
      <c r="BA651" s="36"/>
      <c r="BB651" s="36"/>
      <c r="BC651" s="36"/>
      <c r="BD651" s="36"/>
      <c r="BE651" s="36"/>
      <c r="BF651" s="36"/>
      <c r="BG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36"/>
      <c r="BA653" s="36"/>
      <c r="BB653" s="36"/>
      <c r="BC653" s="36"/>
      <c r="BD653" s="36"/>
      <c r="BE653" s="36"/>
      <c r="BF653" s="36"/>
      <c r="BG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36"/>
      <c r="BA654" s="36"/>
      <c r="BB654" s="36"/>
      <c r="BC654" s="36"/>
      <c r="BD654" s="36"/>
      <c r="BE654" s="36"/>
      <c r="BF654" s="36"/>
      <c r="BG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36"/>
      <c r="BA655" s="36"/>
      <c r="BB655" s="36"/>
      <c r="BC655" s="36"/>
      <c r="BD655" s="36"/>
      <c r="BE655" s="36"/>
      <c r="BF655" s="36"/>
      <c r="BG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36"/>
      <c r="BA656" s="36"/>
      <c r="BB656" s="36"/>
      <c r="BC656" s="36"/>
      <c r="BD656" s="36"/>
      <c r="BE656" s="36"/>
      <c r="BF656" s="36"/>
      <c r="BG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36"/>
      <c r="BA658" s="36"/>
      <c r="BB658" s="36"/>
      <c r="BC658" s="36"/>
      <c r="BD658" s="36"/>
      <c r="BE658" s="36"/>
      <c r="BF658" s="36"/>
      <c r="BG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36"/>
      <c r="BA660" s="36"/>
      <c r="BB660" s="36"/>
      <c r="BC660" s="36"/>
      <c r="BD660" s="36"/>
      <c r="BE660" s="36"/>
      <c r="BF660" s="36"/>
      <c r="BG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36"/>
      <c r="BA661" s="36"/>
      <c r="BB661" s="36"/>
      <c r="BC661" s="36"/>
      <c r="BD661" s="36"/>
      <c r="BE661" s="36"/>
      <c r="BF661" s="36"/>
      <c r="BG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36"/>
      <c r="BA662" s="36"/>
      <c r="BB662" s="36"/>
      <c r="BC662" s="36"/>
      <c r="BD662" s="36"/>
      <c r="BE662" s="36"/>
      <c r="BF662" s="36"/>
      <c r="BG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36"/>
      <c r="BA663" s="36"/>
      <c r="BB663" s="36"/>
      <c r="BC663" s="36"/>
      <c r="BD663" s="36"/>
      <c r="BE663" s="36"/>
      <c r="BF663" s="36"/>
      <c r="BG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36"/>
      <c r="BA665" s="36"/>
      <c r="BB665" s="36"/>
      <c r="BC665" s="36"/>
      <c r="BD665" s="36"/>
      <c r="BE665" s="36"/>
      <c r="BF665" s="36"/>
      <c r="BG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36"/>
      <c r="BA666" s="36"/>
      <c r="BB666" s="36"/>
      <c r="BC666" s="36"/>
      <c r="BD666" s="36"/>
      <c r="BE666" s="36"/>
      <c r="BF666" s="36"/>
      <c r="BG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36"/>
      <c r="BA667" s="36"/>
      <c r="BB667" s="36"/>
      <c r="BC667" s="36"/>
      <c r="BD667" s="36"/>
      <c r="BE667" s="36"/>
      <c r="BF667" s="36"/>
      <c r="BG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36"/>
      <c r="BA668" s="36"/>
      <c r="BB668" s="36"/>
      <c r="BC668" s="36"/>
      <c r="BD668" s="36"/>
      <c r="BE668" s="36"/>
      <c r="BF668" s="36"/>
      <c r="BG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36"/>
      <c r="BA669" s="36"/>
      <c r="BB669" s="36"/>
      <c r="BC669" s="36"/>
      <c r="BD669" s="36"/>
      <c r="BE669" s="36"/>
      <c r="BF669" s="36"/>
      <c r="BG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36"/>
      <c r="BA670" s="36"/>
      <c r="BB670" s="36"/>
      <c r="BC670" s="36"/>
      <c r="BD670" s="36"/>
      <c r="BE670" s="36"/>
      <c r="BF670" s="36"/>
      <c r="BG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36"/>
      <c r="BA671" s="36"/>
      <c r="BB671" s="36"/>
      <c r="BC671" s="36"/>
      <c r="BD671" s="36"/>
      <c r="BE671" s="36"/>
      <c r="BF671" s="36"/>
      <c r="BG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36"/>
      <c r="BA673" s="36"/>
      <c r="BB673" s="36"/>
      <c r="BC673" s="36"/>
      <c r="BD673" s="36"/>
      <c r="BE673" s="36"/>
      <c r="BF673" s="36"/>
      <c r="BG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36"/>
      <c r="BA674" s="36"/>
      <c r="BB674" s="36"/>
      <c r="BC674" s="36"/>
      <c r="BD674" s="36"/>
      <c r="BE674" s="36"/>
      <c r="BF674" s="36"/>
      <c r="BG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36"/>
      <c r="BA675" s="36"/>
      <c r="BB675" s="36"/>
      <c r="BC675" s="36"/>
      <c r="BD675" s="36"/>
      <c r="BE675" s="36"/>
      <c r="BF675" s="36"/>
      <c r="BG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36"/>
      <c r="BA676" s="36"/>
      <c r="BB676" s="36"/>
      <c r="BC676" s="36"/>
      <c r="BD676" s="36"/>
      <c r="BE676" s="36"/>
      <c r="BF676" s="36"/>
      <c r="BG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36"/>
      <c r="BA678" s="36"/>
      <c r="BB678" s="36"/>
      <c r="BC678" s="36"/>
      <c r="BD678" s="36"/>
      <c r="BE678" s="36"/>
      <c r="BF678" s="36"/>
      <c r="BG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36"/>
      <c r="BA679" s="36"/>
      <c r="BB679" s="36"/>
      <c r="BC679" s="36"/>
      <c r="BD679" s="36"/>
      <c r="BE679" s="36"/>
      <c r="BF679" s="36"/>
      <c r="BG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36"/>
      <c r="BA680" s="36"/>
      <c r="BB680" s="36"/>
      <c r="BC680" s="36"/>
      <c r="BD680" s="36"/>
      <c r="BE680" s="36"/>
      <c r="BF680" s="36"/>
      <c r="BG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36"/>
      <c r="BA681" s="36"/>
      <c r="BB681" s="36"/>
      <c r="BC681" s="36"/>
      <c r="BD681" s="36"/>
      <c r="BE681" s="36"/>
      <c r="BF681" s="36"/>
      <c r="BG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36"/>
      <c r="BA683" s="36"/>
      <c r="BB683" s="36"/>
      <c r="BC683" s="36"/>
      <c r="BD683" s="36"/>
      <c r="BE683" s="36"/>
      <c r="BF683" s="36"/>
      <c r="BG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36"/>
      <c r="BA684" s="36"/>
      <c r="BB684" s="36"/>
      <c r="BC684" s="36"/>
      <c r="BD684" s="36"/>
      <c r="BE684" s="36"/>
      <c r="BF684" s="36"/>
      <c r="BG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36"/>
      <c r="BA685" s="36"/>
      <c r="BB685" s="36"/>
      <c r="BC685" s="36"/>
      <c r="BD685" s="36"/>
      <c r="BE685" s="36"/>
      <c r="BF685" s="36"/>
      <c r="BG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36"/>
      <c r="BA686" s="36"/>
      <c r="BB686" s="36"/>
      <c r="BC686" s="36"/>
      <c r="BD686" s="36"/>
      <c r="BE686" s="36"/>
      <c r="BF686" s="36"/>
      <c r="BG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36"/>
      <c r="BA688" s="36"/>
      <c r="BB688" s="36"/>
      <c r="BC688" s="36"/>
      <c r="BD688" s="36"/>
      <c r="BE688" s="36"/>
      <c r="BF688" s="36"/>
      <c r="BG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36"/>
      <c r="BA689" s="36"/>
      <c r="BB689" s="36"/>
      <c r="BC689" s="36"/>
      <c r="BD689" s="36"/>
      <c r="BE689" s="36"/>
      <c r="BF689" s="36"/>
      <c r="BG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36"/>
      <c r="BA690" s="36"/>
      <c r="BB690" s="36"/>
      <c r="BC690" s="36"/>
      <c r="BD690" s="36"/>
      <c r="BE690" s="36"/>
      <c r="BF690" s="36"/>
      <c r="BG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36"/>
      <c r="BA691" s="36"/>
      <c r="BB691" s="36"/>
      <c r="BC691" s="36"/>
      <c r="BD691" s="36"/>
      <c r="BE691" s="36"/>
      <c r="BF691" s="36"/>
      <c r="BG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36"/>
      <c r="BA693" s="36"/>
      <c r="BB693" s="36"/>
      <c r="BC693" s="36"/>
      <c r="BD693" s="36"/>
      <c r="BE693" s="36"/>
      <c r="BF693" s="36"/>
      <c r="BG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36"/>
      <c r="BA694" s="36"/>
      <c r="BB694" s="36"/>
      <c r="BC694" s="36"/>
      <c r="BD694" s="36"/>
      <c r="BE694" s="36"/>
      <c r="BF694" s="36"/>
      <c r="BG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36"/>
      <c r="BA695" s="36"/>
      <c r="BB695" s="36"/>
      <c r="BC695" s="36"/>
      <c r="BD695" s="36"/>
      <c r="BE695" s="36"/>
      <c r="BF695" s="36"/>
      <c r="BG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36"/>
      <c r="BA696" s="36"/>
      <c r="BB696" s="36"/>
      <c r="BC696" s="36"/>
      <c r="BD696" s="36"/>
      <c r="BE696" s="36"/>
      <c r="BF696" s="36"/>
      <c r="BG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36"/>
      <c r="BA697" s="36"/>
      <c r="BB697" s="36"/>
      <c r="BC697" s="36"/>
      <c r="BD697" s="36"/>
      <c r="BE697" s="36"/>
      <c r="BF697" s="36"/>
      <c r="BG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36"/>
      <c r="BA698" s="36"/>
      <c r="BB698" s="36"/>
      <c r="BC698" s="36"/>
      <c r="BD698" s="36"/>
      <c r="BE698" s="36"/>
      <c r="BF698" s="36"/>
      <c r="BG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36"/>
      <c r="BA700" s="36"/>
      <c r="BB700" s="36"/>
      <c r="BC700" s="36"/>
      <c r="BD700" s="36"/>
      <c r="BE700" s="36"/>
      <c r="BF700" s="36"/>
      <c r="BG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36"/>
      <c r="BA701" s="36"/>
      <c r="BB701" s="36"/>
      <c r="BC701" s="36"/>
      <c r="BD701" s="36"/>
      <c r="BE701" s="36"/>
      <c r="BF701" s="36"/>
      <c r="BG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36"/>
      <c r="BA702" s="36"/>
      <c r="BB702" s="36"/>
      <c r="BC702" s="36"/>
      <c r="BD702" s="36"/>
      <c r="BE702" s="36"/>
      <c r="BF702" s="36"/>
      <c r="BG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36"/>
      <c r="BA704" s="36"/>
      <c r="BB704" s="36"/>
      <c r="BC704" s="36"/>
      <c r="BD704" s="36"/>
      <c r="BE704" s="36"/>
      <c r="BF704" s="36"/>
      <c r="BG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36"/>
      <c r="BA705" s="36"/>
      <c r="BB705" s="36"/>
      <c r="BC705" s="36"/>
      <c r="BD705" s="36"/>
      <c r="BE705" s="36"/>
      <c r="BF705" s="36"/>
      <c r="BG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36"/>
      <c r="BA707" s="36"/>
      <c r="BB707" s="36"/>
      <c r="BC707" s="36"/>
      <c r="BD707" s="36"/>
      <c r="BE707" s="36"/>
      <c r="BF707" s="36"/>
      <c r="BG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36"/>
      <c r="BA708" s="36"/>
      <c r="BB708" s="36"/>
      <c r="BC708" s="36"/>
      <c r="BD708" s="36"/>
      <c r="BE708" s="36"/>
      <c r="BF708" s="36"/>
      <c r="BG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36"/>
      <c r="BA709" s="36"/>
      <c r="BB709" s="36"/>
      <c r="BC709" s="36"/>
      <c r="BD709" s="36"/>
      <c r="BE709" s="36"/>
      <c r="BF709" s="36"/>
      <c r="BG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36"/>
      <c r="BA710" s="36"/>
      <c r="BB710" s="36"/>
      <c r="BC710" s="36"/>
      <c r="BD710" s="36"/>
      <c r="BE710" s="36"/>
      <c r="BF710" s="36"/>
      <c r="BG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36"/>
      <c r="BA711" s="36"/>
      <c r="BB711" s="36"/>
      <c r="BC711" s="36"/>
      <c r="BD711" s="36"/>
      <c r="BE711" s="36"/>
      <c r="BF711" s="36"/>
      <c r="BG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36"/>
      <c r="BA713" s="36"/>
      <c r="BB713" s="36"/>
      <c r="BC713" s="36"/>
      <c r="BD713" s="36"/>
      <c r="BE713" s="36"/>
      <c r="BF713" s="36"/>
      <c r="BG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36"/>
      <c r="BA714" s="36"/>
      <c r="BB714" s="36"/>
      <c r="BC714" s="36"/>
      <c r="BD714" s="36"/>
      <c r="BE714" s="36"/>
      <c r="BF714" s="36"/>
      <c r="BG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36"/>
      <c r="BA715" s="36"/>
      <c r="BB715" s="36"/>
      <c r="BC715" s="36"/>
      <c r="BD715" s="36"/>
      <c r="BE715" s="36"/>
      <c r="BF715" s="36"/>
      <c r="BG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36"/>
      <c r="BA716" s="36"/>
      <c r="BB716" s="36"/>
      <c r="BC716" s="36"/>
      <c r="BD716" s="36"/>
      <c r="BE716" s="36"/>
      <c r="BF716" s="36"/>
      <c r="BG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36"/>
      <c r="BA717" s="36"/>
      <c r="BB717" s="36"/>
      <c r="BC717" s="36"/>
      <c r="BD717" s="36"/>
      <c r="BE717" s="36"/>
      <c r="BF717" s="36"/>
      <c r="BG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36"/>
      <c r="BA718" s="36"/>
      <c r="BB718" s="36"/>
      <c r="BC718" s="36"/>
      <c r="BD718" s="36"/>
      <c r="BE718" s="36"/>
      <c r="BF718" s="36"/>
      <c r="BG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36"/>
      <c r="BA719" s="36"/>
      <c r="BB719" s="36"/>
      <c r="BC719" s="36"/>
      <c r="BD719" s="36"/>
      <c r="BE719" s="36"/>
      <c r="BF719" s="36"/>
      <c r="BG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36"/>
      <c r="BA720" s="36"/>
      <c r="BB720" s="36"/>
      <c r="BC720" s="36"/>
      <c r="BD720" s="36"/>
      <c r="BE720" s="36"/>
      <c r="BF720" s="36"/>
      <c r="BG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36"/>
      <c r="BA721" s="36"/>
      <c r="BB721" s="36"/>
      <c r="BC721" s="36"/>
      <c r="BD721" s="36"/>
      <c r="BE721" s="36"/>
      <c r="BF721" s="36"/>
      <c r="BG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36"/>
      <c r="BA722" s="36"/>
      <c r="BB722" s="36"/>
      <c r="BC722" s="36"/>
      <c r="BD722" s="36"/>
      <c r="BE722" s="36"/>
      <c r="BF722" s="36"/>
      <c r="BG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36"/>
      <c r="BA723" s="36"/>
      <c r="BB723" s="36"/>
      <c r="BC723" s="36"/>
      <c r="BD723" s="36"/>
      <c r="BE723" s="36"/>
      <c r="BF723" s="36"/>
      <c r="BG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36"/>
      <c r="BA724" s="36"/>
      <c r="BB724" s="36"/>
      <c r="BC724" s="36"/>
      <c r="BD724" s="36"/>
      <c r="BE724" s="36"/>
      <c r="BF724" s="36"/>
      <c r="BG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36"/>
      <c r="BA725" s="36"/>
      <c r="BB725" s="36"/>
      <c r="BC725" s="36"/>
      <c r="BD725" s="36"/>
      <c r="BE725" s="36"/>
      <c r="BF725" s="36"/>
      <c r="BG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36"/>
      <c r="BA726" s="36"/>
      <c r="BB726" s="36"/>
      <c r="BC726" s="36"/>
      <c r="BD726" s="36"/>
      <c r="BE726" s="36"/>
      <c r="BF726" s="36"/>
      <c r="BG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36"/>
      <c r="BA727" s="36"/>
      <c r="BB727" s="36"/>
      <c r="BC727" s="36"/>
      <c r="BD727" s="36"/>
      <c r="BE727" s="36"/>
      <c r="BF727" s="36"/>
      <c r="BG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36"/>
      <c r="BA728" s="36"/>
      <c r="BB728" s="36"/>
      <c r="BC728" s="36"/>
      <c r="BD728" s="36"/>
      <c r="BE728" s="36"/>
      <c r="BF728" s="36"/>
      <c r="BG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36"/>
      <c r="BA729" s="36"/>
      <c r="BB729" s="36"/>
      <c r="BC729" s="36"/>
      <c r="BD729" s="36"/>
      <c r="BE729" s="36"/>
      <c r="BF729" s="36"/>
      <c r="BG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36"/>
      <c r="BA730" s="36"/>
      <c r="BB730" s="36"/>
      <c r="BC730" s="36"/>
      <c r="BD730" s="36"/>
      <c r="BE730" s="36"/>
      <c r="BF730" s="36"/>
      <c r="BG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36"/>
      <c r="BA731" s="36"/>
      <c r="BB731" s="36"/>
      <c r="BC731" s="36"/>
      <c r="BD731" s="36"/>
      <c r="BE731" s="36"/>
      <c r="BF731" s="36"/>
      <c r="BG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36"/>
      <c r="BA732" s="36"/>
      <c r="BB732" s="36"/>
      <c r="BC732" s="36"/>
      <c r="BD732" s="36"/>
      <c r="BE732" s="36"/>
      <c r="BF732" s="36"/>
      <c r="BG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36"/>
      <c r="BA733" s="36"/>
      <c r="BB733" s="36"/>
      <c r="BC733" s="36"/>
      <c r="BD733" s="36"/>
      <c r="BE733" s="36"/>
      <c r="BF733" s="36"/>
      <c r="BG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36"/>
      <c r="BA734" s="36"/>
      <c r="BB734" s="36"/>
      <c r="BC734" s="36"/>
      <c r="BD734" s="36"/>
      <c r="BE734" s="36"/>
      <c r="BF734" s="36"/>
      <c r="BG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36"/>
      <c r="BA736" s="36"/>
      <c r="BB736" s="36"/>
      <c r="BC736" s="36"/>
      <c r="BD736" s="36"/>
      <c r="BE736" s="36"/>
      <c r="BF736" s="36"/>
      <c r="BG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36"/>
      <c r="BA738" s="36"/>
      <c r="BB738" s="36"/>
      <c r="BC738" s="36"/>
      <c r="BD738" s="36"/>
      <c r="BE738" s="36"/>
      <c r="BF738" s="36"/>
      <c r="BG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36"/>
      <c r="BA739" s="36"/>
      <c r="BB739" s="36"/>
      <c r="BC739" s="36"/>
      <c r="BD739" s="36"/>
      <c r="BE739" s="36"/>
      <c r="BF739" s="36"/>
      <c r="BG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36"/>
      <c r="BA740" s="36"/>
      <c r="BB740" s="36"/>
      <c r="BC740" s="36"/>
      <c r="BD740" s="36"/>
      <c r="BE740" s="36"/>
      <c r="BF740" s="36"/>
      <c r="BG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36"/>
      <c r="BA741" s="36"/>
      <c r="BB741" s="36"/>
      <c r="BC741" s="36"/>
      <c r="BD741" s="36"/>
      <c r="BE741" s="36"/>
      <c r="BF741" s="36"/>
      <c r="BG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36"/>
      <c r="BA743" s="36"/>
      <c r="BB743" s="36"/>
      <c r="BC743" s="36"/>
      <c r="BD743" s="36"/>
      <c r="BE743" s="36"/>
      <c r="BF743" s="36"/>
      <c r="BG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36"/>
      <c r="BA744" s="36"/>
      <c r="BB744" s="36"/>
      <c r="BC744" s="36"/>
      <c r="BD744" s="36"/>
      <c r="BE744" s="36"/>
      <c r="BF744" s="36"/>
      <c r="BG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36"/>
      <c r="BA746" s="36"/>
      <c r="BB746" s="36"/>
      <c r="BC746" s="36"/>
      <c r="BD746" s="36"/>
      <c r="BE746" s="36"/>
      <c r="BF746" s="36"/>
      <c r="BG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36"/>
      <c r="BA747" s="36"/>
      <c r="BB747" s="36"/>
      <c r="BC747" s="36"/>
      <c r="BD747" s="36"/>
      <c r="BE747" s="36"/>
      <c r="BF747" s="36"/>
      <c r="BG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36"/>
      <c r="BA749" s="36"/>
      <c r="BB749" s="36"/>
      <c r="BC749" s="36"/>
      <c r="BD749" s="36"/>
      <c r="BE749" s="36"/>
      <c r="BF749" s="36"/>
      <c r="BG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36"/>
      <c r="BA750" s="36"/>
      <c r="BB750" s="36"/>
      <c r="BC750" s="36"/>
      <c r="BD750" s="36"/>
      <c r="BE750" s="36"/>
      <c r="BF750" s="36"/>
      <c r="BG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36"/>
      <c r="BA752" s="36"/>
      <c r="BB752" s="36"/>
      <c r="BC752" s="36"/>
      <c r="BD752" s="36"/>
      <c r="BE752" s="36"/>
      <c r="BF752" s="36"/>
      <c r="BG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36"/>
      <c r="BA753" s="36"/>
      <c r="BB753" s="36"/>
      <c r="BC753" s="36"/>
      <c r="BD753" s="36"/>
      <c r="BE753" s="36"/>
      <c r="BF753" s="36"/>
      <c r="BG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36"/>
      <c r="BA755" s="36"/>
      <c r="BB755" s="36"/>
      <c r="BC755" s="36"/>
      <c r="BD755" s="36"/>
      <c r="BE755" s="36"/>
      <c r="BF755" s="36"/>
      <c r="BG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36"/>
      <c r="BA756" s="36"/>
      <c r="BB756" s="36"/>
      <c r="BC756" s="36"/>
      <c r="BD756" s="36"/>
      <c r="BE756" s="36"/>
      <c r="BF756" s="36"/>
      <c r="BG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36"/>
      <c r="BA758" s="36"/>
      <c r="BB758" s="36"/>
      <c r="BC758" s="36"/>
      <c r="BD758" s="36"/>
      <c r="BE758" s="36"/>
      <c r="BF758" s="36"/>
      <c r="BG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36"/>
      <c r="BA759" s="36"/>
      <c r="BB759" s="36"/>
      <c r="BC759" s="36"/>
      <c r="BD759" s="36"/>
      <c r="BE759" s="36"/>
      <c r="BF759" s="36"/>
      <c r="BG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36"/>
      <c r="BA760" s="36"/>
      <c r="BB760" s="36"/>
      <c r="BC760" s="36"/>
      <c r="BD760" s="36"/>
      <c r="BE760" s="36"/>
      <c r="BF760" s="36"/>
      <c r="BG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36"/>
      <c r="BA761" s="36"/>
      <c r="BB761" s="36"/>
      <c r="BC761" s="36"/>
      <c r="BD761" s="36"/>
      <c r="BE761" s="36"/>
      <c r="BF761" s="36"/>
      <c r="BG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36"/>
      <c r="BA763" s="36"/>
      <c r="BB763" s="36"/>
      <c r="BC763" s="36"/>
      <c r="BD763" s="36"/>
      <c r="BE763" s="36"/>
      <c r="BF763" s="36"/>
      <c r="BG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36"/>
      <c r="BA764" s="36"/>
      <c r="BB764" s="36"/>
      <c r="BC764" s="36"/>
      <c r="BD764" s="36"/>
      <c r="BE764" s="36"/>
      <c r="BF764" s="36"/>
      <c r="BG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36"/>
      <c r="BA765" s="36"/>
      <c r="BB765" s="36"/>
      <c r="BC765" s="36"/>
      <c r="BD765" s="36"/>
      <c r="BE765" s="36"/>
      <c r="BF765" s="36"/>
      <c r="BG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36"/>
      <c r="BA766" s="36"/>
      <c r="BB766" s="36"/>
      <c r="BC766" s="36"/>
      <c r="BD766" s="36"/>
      <c r="BE766" s="36"/>
      <c r="BF766" s="36"/>
      <c r="BG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36"/>
      <c r="BA768" s="36"/>
      <c r="BB768" s="36"/>
      <c r="BC768" s="36"/>
      <c r="BD768" s="36"/>
      <c r="BE768" s="36"/>
      <c r="BF768" s="36"/>
      <c r="BG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36"/>
      <c r="BA769" s="36"/>
      <c r="BB769" s="36"/>
      <c r="BC769" s="36"/>
      <c r="BD769" s="36"/>
      <c r="BE769" s="36"/>
      <c r="BF769" s="36"/>
      <c r="BG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36"/>
      <c r="BA771" s="36"/>
      <c r="BB771" s="36"/>
      <c r="BC771" s="36"/>
      <c r="BD771" s="36"/>
      <c r="BE771" s="36"/>
      <c r="BF771" s="36"/>
      <c r="BG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36"/>
      <c r="BA772" s="36"/>
      <c r="BB772" s="36"/>
      <c r="BC772" s="36"/>
      <c r="BD772" s="36"/>
      <c r="BE772" s="36"/>
      <c r="BF772" s="36"/>
      <c r="BG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36"/>
      <c r="BA774" s="36"/>
      <c r="BB774" s="36"/>
      <c r="BC774" s="36"/>
      <c r="BD774" s="36"/>
      <c r="BE774" s="36"/>
      <c r="BF774" s="36"/>
      <c r="BG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36"/>
      <c r="BA775" s="36"/>
      <c r="BB775" s="36"/>
      <c r="BC775" s="36"/>
      <c r="BD775" s="36"/>
      <c r="BE775" s="36"/>
      <c r="BF775" s="36"/>
      <c r="BG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36"/>
      <c r="BA777" s="36"/>
      <c r="BB777" s="36"/>
      <c r="BC777" s="36"/>
      <c r="BD777" s="36"/>
      <c r="BE777" s="36"/>
      <c r="BF777" s="36"/>
      <c r="BG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36"/>
      <c r="BA778" s="36"/>
      <c r="BB778" s="36"/>
      <c r="BC778" s="36"/>
      <c r="BD778" s="36"/>
      <c r="BE778" s="36"/>
      <c r="BF778" s="36"/>
      <c r="BG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36"/>
      <c r="BA779" s="36"/>
      <c r="BB779" s="36"/>
      <c r="BC779" s="36"/>
      <c r="BD779" s="36"/>
      <c r="BE779" s="36"/>
      <c r="BF779" s="36"/>
      <c r="BG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36"/>
      <c r="BA780" s="36"/>
      <c r="BB780" s="36"/>
      <c r="BC780" s="36"/>
      <c r="BD780" s="36"/>
      <c r="BE780" s="36"/>
      <c r="BF780" s="36"/>
      <c r="BG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36"/>
      <c r="BA782" s="36"/>
      <c r="BB782" s="36"/>
      <c r="BC782" s="36"/>
      <c r="BD782" s="36"/>
      <c r="BE782" s="36"/>
      <c r="BF782" s="36"/>
      <c r="BG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36"/>
      <c r="BA783" s="36"/>
      <c r="BB783" s="36"/>
      <c r="BC783" s="36"/>
      <c r="BD783" s="36"/>
      <c r="BE783" s="36"/>
      <c r="BF783" s="36"/>
      <c r="BG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36"/>
      <c r="BA784" s="36"/>
      <c r="BB784" s="36"/>
      <c r="BC784" s="36"/>
      <c r="BD784" s="36"/>
      <c r="BE784" s="36"/>
      <c r="BF784" s="36"/>
      <c r="BG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36"/>
      <c r="BA785" s="36"/>
      <c r="BB785" s="36"/>
      <c r="BC785" s="36"/>
      <c r="BD785" s="36"/>
      <c r="BE785" s="36"/>
      <c r="BF785" s="36"/>
      <c r="BG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36"/>
      <c r="BA787" s="36"/>
      <c r="BB787" s="36"/>
      <c r="BC787" s="36"/>
      <c r="BD787" s="36"/>
      <c r="BE787" s="36"/>
      <c r="BF787" s="36"/>
      <c r="BG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36"/>
      <c r="BA788" s="36"/>
      <c r="BB788" s="36"/>
      <c r="BC788" s="36"/>
      <c r="BD788" s="36"/>
      <c r="BE788" s="36"/>
      <c r="BF788" s="36"/>
      <c r="BG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36"/>
      <c r="BA789" s="36"/>
      <c r="BB789" s="36"/>
      <c r="BC789" s="36"/>
      <c r="BD789" s="36"/>
      <c r="BE789" s="36"/>
      <c r="BF789" s="36"/>
      <c r="BG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36"/>
      <c r="BA791" s="36"/>
      <c r="BB791" s="36"/>
      <c r="BC791" s="36"/>
      <c r="BD791" s="36"/>
      <c r="BE791" s="36"/>
      <c r="BF791" s="36"/>
      <c r="BG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36"/>
      <c r="BA792" s="36"/>
      <c r="BB792" s="36"/>
      <c r="BC792" s="36"/>
      <c r="BD792" s="36"/>
      <c r="BE792" s="36"/>
      <c r="BF792" s="36"/>
      <c r="BG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36"/>
      <c r="BA794" s="36"/>
      <c r="BB794" s="36"/>
      <c r="BC794" s="36"/>
      <c r="BD794" s="36"/>
      <c r="BE794" s="36"/>
      <c r="BF794" s="36"/>
      <c r="BG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36"/>
      <c r="BA795" s="36"/>
      <c r="BB795" s="36"/>
      <c r="BC795" s="36"/>
      <c r="BD795" s="36"/>
      <c r="BE795" s="36"/>
      <c r="BF795" s="36"/>
      <c r="BG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36"/>
      <c r="BA797" s="36"/>
      <c r="BB797" s="36"/>
      <c r="BC797" s="36"/>
      <c r="BD797" s="36"/>
      <c r="BE797" s="36"/>
      <c r="BF797" s="36"/>
      <c r="BG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36"/>
      <c r="BA798" s="36"/>
      <c r="BB798" s="36"/>
      <c r="BC798" s="36"/>
      <c r="BD798" s="36"/>
      <c r="BE798" s="36"/>
      <c r="BF798" s="36"/>
      <c r="BG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36"/>
      <c r="BA800" s="36"/>
      <c r="BB800" s="36"/>
      <c r="BC800" s="36"/>
      <c r="BD800" s="36"/>
      <c r="BE800" s="36"/>
      <c r="BF800" s="36"/>
      <c r="BG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36"/>
      <c r="BA801" s="36"/>
      <c r="BB801" s="36"/>
      <c r="BC801" s="36"/>
      <c r="BD801" s="36"/>
      <c r="BE801" s="36"/>
      <c r="BF801" s="36"/>
      <c r="BG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36"/>
      <c r="BA803" s="36"/>
      <c r="BB803" s="36"/>
      <c r="BC803" s="36"/>
      <c r="BD803" s="36"/>
      <c r="BE803" s="36"/>
      <c r="BF803" s="36"/>
      <c r="BG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36"/>
      <c r="BA804" s="36"/>
      <c r="BB804" s="36"/>
      <c r="BC804" s="36"/>
      <c r="BD804" s="36"/>
      <c r="BE804" s="36"/>
      <c r="BF804" s="36"/>
      <c r="BG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36"/>
      <c r="BA806" s="36"/>
      <c r="BB806" s="36"/>
      <c r="BC806" s="36"/>
      <c r="BD806" s="36"/>
      <c r="BE806" s="36"/>
      <c r="BF806" s="36"/>
      <c r="BG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36"/>
      <c r="BA807" s="36"/>
      <c r="BB807" s="36"/>
      <c r="BC807" s="36"/>
      <c r="BD807" s="36"/>
      <c r="BE807" s="36"/>
      <c r="BF807" s="36"/>
      <c r="BG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36"/>
      <c r="BA808" s="36"/>
      <c r="BB808" s="36"/>
      <c r="BC808" s="36"/>
      <c r="BD808" s="36"/>
      <c r="BE808" s="36"/>
      <c r="BF808" s="36"/>
      <c r="BG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36"/>
      <c r="BA810" s="36"/>
      <c r="BB810" s="36"/>
      <c r="BC810" s="36"/>
      <c r="BD810" s="36"/>
      <c r="BE810" s="36"/>
      <c r="BF810" s="36"/>
      <c r="BG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36"/>
      <c r="BA811" s="36"/>
      <c r="BB811" s="36"/>
      <c r="BC811" s="36"/>
      <c r="BD811" s="36"/>
      <c r="BE811" s="36"/>
      <c r="BF811" s="36"/>
      <c r="BG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36"/>
      <c r="BA812" s="36"/>
      <c r="BB812" s="36"/>
      <c r="BC812" s="36"/>
      <c r="BD812" s="36"/>
      <c r="BE812" s="36"/>
      <c r="BF812" s="36"/>
      <c r="BG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36"/>
      <c r="BA813" s="36"/>
      <c r="BB813" s="36"/>
      <c r="BC813" s="36"/>
      <c r="BD813" s="36"/>
      <c r="BE813" s="36"/>
      <c r="BF813" s="36"/>
      <c r="BG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36"/>
      <c r="BA814" s="36"/>
      <c r="BB814" s="36"/>
      <c r="BC814" s="36"/>
      <c r="BD814" s="36"/>
      <c r="BE814" s="36"/>
      <c r="BF814" s="36"/>
      <c r="BG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36"/>
      <c r="BA815" s="36"/>
      <c r="BB815" s="36"/>
      <c r="BC815" s="36"/>
      <c r="BD815" s="36"/>
      <c r="BE815" s="36"/>
      <c r="BF815" s="36"/>
      <c r="BG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36"/>
      <c r="BA816" s="36"/>
      <c r="BB816" s="36"/>
      <c r="BC816" s="36"/>
      <c r="BD816" s="36"/>
      <c r="BE816" s="36"/>
      <c r="BF816" s="36"/>
      <c r="BG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36"/>
      <c r="BA817" s="36"/>
      <c r="BB817" s="36"/>
      <c r="BC817" s="36"/>
      <c r="BD817" s="36"/>
      <c r="BE817" s="36"/>
      <c r="BF817" s="36"/>
      <c r="BG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36"/>
      <c r="BA818" s="36"/>
      <c r="BB818" s="36"/>
      <c r="BC818" s="36"/>
      <c r="BD818" s="36"/>
      <c r="BE818" s="36"/>
      <c r="BF818" s="36"/>
      <c r="BG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36"/>
      <c r="BA819" s="36"/>
      <c r="BB819" s="36"/>
      <c r="BC819" s="36"/>
      <c r="BD819" s="36"/>
      <c r="BE819" s="36"/>
      <c r="BF819" s="36"/>
      <c r="BG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36"/>
      <c r="BA820" s="36"/>
      <c r="BB820" s="36"/>
      <c r="BC820" s="36"/>
      <c r="BD820" s="36"/>
      <c r="BE820" s="36"/>
      <c r="BF820" s="36"/>
      <c r="BG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36"/>
      <c r="BA821" s="36"/>
      <c r="BB821" s="36"/>
      <c r="BC821" s="36"/>
      <c r="BD821" s="36"/>
      <c r="BE821" s="36"/>
      <c r="BF821" s="36"/>
      <c r="BG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36"/>
      <c r="BA822" s="36"/>
      <c r="BB822" s="36"/>
      <c r="BC822" s="36"/>
      <c r="BD822" s="36"/>
      <c r="BE822" s="36"/>
      <c r="BF822" s="36"/>
      <c r="BG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36"/>
      <c r="BA823" s="36"/>
      <c r="BB823" s="36"/>
      <c r="BC823" s="36"/>
      <c r="BD823" s="36"/>
      <c r="BE823" s="36"/>
      <c r="BF823" s="36"/>
      <c r="BG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36"/>
      <c r="BA824" s="36"/>
      <c r="BB824" s="36"/>
      <c r="BC824" s="36"/>
      <c r="BD824" s="36"/>
      <c r="BE824" s="36"/>
      <c r="BF824" s="36"/>
      <c r="BG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36"/>
      <c r="BA825" s="36"/>
      <c r="BB825" s="36"/>
      <c r="BC825" s="36"/>
      <c r="BD825" s="36"/>
      <c r="BE825" s="36"/>
      <c r="BF825" s="36"/>
      <c r="BG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36"/>
      <c r="BA826" s="36"/>
      <c r="BB826" s="36"/>
      <c r="BC826" s="36"/>
      <c r="BD826" s="36"/>
      <c r="BE826" s="36"/>
      <c r="BF826" s="36"/>
      <c r="BG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36"/>
      <c r="BA827" s="36"/>
      <c r="BB827" s="36"/>
      <c r="BC827" s="36"/>
      <c r="BD827" s="36"/>
      <c r="BE827" s="36"/>
      <c r="BF827" s="36"/>
      <c r="BG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36"/>
      <c r="BA828" s="36"/>
      <c r="BB828" s="36"/>
      <c r="BC828" s="36"/>
      <c r="BD828" s="36"/>
      <c r="BE828" s="36"/>
      <c r="BF828" s="36"/>
      <c r="BG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36"/>
      <c r="BA829" s="36"/>
      <c r="BB829" s="36"/>
      <c r="BC829" s="36"/>
      <c r="BD829" s="36"/>
      <c r="BE829" s="36"/>
      <c r="BF829" s="36"/>
      <c r="BG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36"/>
      <c r="BA830" s="36"/>
      <c r="BB830" s="36"/>
      <c r="BC830" s="36"/>
      <c r="BD830" s="36"/>
      <c r="BE830" s="36"/>
      <c r="BF830" s="36"/>
      <c r="BG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36"/>
      <c r="BA831" s="36"/>
      <c r="BB831" s="36"/>
      <c r="BC831" s="36"/>
      <c r="BD831" s="36"/>
      <c r="BE831" s="36"/>
      <c r="BF831" s="36"/>
      <c r="BG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36"/>
      <c r="BA832" s="36"/>
      <c r="BB832" s="36"/>
      <c r="BC832" s="36"/>
      <c r="BD832" s="36"/>
      <c r="BE832" s="36"/>
      <c r="BF832" s="36"/>
      <c r="BG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36"/>
      <c r="BA833" s="36"/>
      <c r="BB833" s="36"/>
      <c r="BC833" s="36"/>
      <c r="BD833" s="36"/>
      <c r="BE833" s="36"/>
      <c r="BF833" s="36"/>
      <c r="BG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36"/>
      <c r="BA834" s="36"/>
      <c r="BB834" s="36"/>
      <c r="BC834" s="36"/>
      <c r="BD834" s="36"/>
      <c r="BE834" s="36"/>
      <c r="BF834" s="36"/>
      <c r="BG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36"/>
      <c r="BA835" s="36"/>
      <c r="BB835" s="36"/>
      <c r="BC835" s="36"/>
      <c r="BD835" s="36"/>
      <c r="BE835" s="36"/>
      <c r="BF835" s="36"/>
      <c r="BG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36"/>
      <c r="BA836" s="36"/>
      <c r="BB836" s="36"/>
      <c r="BC836" s="36"/>
      <c r="BD836" s="36"/>
      <c r="BE836" s="36"/>
      <c r="BF836" s="36"/>
      <c r="BG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36"/>
      <c r="BA837" s="36"/>
      <c r="BB837" s="36"/>
      <c r="BC837" s="36"/>
      <c r="BD837" s="36"/>
      <c r="BE837" s="36"/>
      <c r="BF837" s="36"/>
      <c r="BG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36"/>
      <c r="BA838" s="36"/>
      <c r="BB838" s="36"/>
      <c r="BC838" s="36"/>
      <c r="BD838" s="36"/>
      <c r="BE838" s="36"/>
      <c r="BF838" s="36"/>
      <c r="BG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36"/>
      <c r="BA839" s="36"/>
      <c r="BB839" s="36"/>
      <c r="BC839" s="36"/>
      <c r="BD839" s="36"/>
      <c r="BE839" s="36"/>
      <c r="BF839" s="36"/>
      <c r="BG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36"/>
      <c r="BA840" s="36"/>
      <c r="BB840" s="36"/>
      <c r="BC840" s="36"/>
      <c r="BD840" s="36"/>
      <c r="BE840" s="36"/>
      <c r="BF840" s="36"/>
      <c r="BG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36"/>
      <c r="BA841" s="36"/>
      <c r="BB841" s="36"/>
      <c r="BC841" s="36"/>
      <c r="BD841" s="36"/>
      <c r="BE841" s="36"/>
      <c r="BF841" s="36"/>
      <c r="BG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36"/>
      <c r="BA842" s="36"/>
      <c r="BB842" s="36"/>
      <c r="BC842" s="36"/>
      <c r="BD842" s="36"/>
      <c r="BE842" s="36"/>
      <c r="BF842" s="36"/>
      <c r="BG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36"/>
      <c r="BA843" s="36"/>
      <c r="BB843" s="36"/>
      <c r="BC843" s="36"/>
      <c r="BD843" s="36"/>
      <c r="BE843" s="36"/>
      <c r="BF843" s="36"/>
      <c r="BG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36"/>
      <c r="BA844" s="36"/>
      <c r="BB844" s="36"/>
      <c r="BC844" s="36"/>
      <c r="BD844" s="36"/>
      <c r="BE844" s="36"/>
      <c r="BF844" s="36"/>
      <c r="BG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36"/>
      <c r="BA845" s="36"/>
      <c r="BB845" s="36"/>
      <c r="BC845" s="36"/>
      <c r="BD845" s="36"/>
      <c r="BE845" s="36"/>
      <c r="BF845" s="36"/>
      <c r="BG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36"/>
      <c r="BA846" s="36"/>
      <c r="BB846" s="36"/>
      <c r="BC846" s="36"/>
      <c r="BD846" s="36"/>
      <c r="BE846" s="36"/>
      <c r="BF846" s="36"/>
      <c r="BG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36"/>
      <c r="BA847" s="36"/>
      <c r="BB847" s="36"/>
      <c r="BC847" s="36"/>
      <c r="BD847" s="36"/>
      <c r="BE847" s="36"/>
      <c r="BF847" s="36"/>
      <c r="BG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36"/>
      <c r="BA848" s="36"/>
      <c r="BB848" s="36"/>
      <c r="BC848" s="36"/>
      <c r="BD848" s="36"/>
      <c r="BE848" s="36"/>
      <c r="BF848" s="36"/>
      <c r="BG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36"/>
      <c r="BA849" s="36"/>
      <c r="BB849" s="36"/>
      <c r="BC849" s="36"/>
      <c r="BD849" s="36"/>
      <c r="BE849" s="36"/>
      <c r="BF849" s="36"/>
      <c r="BG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36"/>
      <c r="BA850" s="36"/>
      <c r="BB850" s="36"/>
      <c r="BC850" s="36"/>
      <c r="BD850" s="36"/>
      <c r="BE850" s="36"/>
      <c r="BF850" s="36"/>
      <c r="BG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36"/>
      <c r="BA851" s="36"/>
      <c r="BB851" s="36"/>
      <c r="BC851" s="36"/>
      <c r="BD851" s="36"/>
      <c r="BE851" s="36"/>
      <c r="BF851" s="36"/>
      <c r="BG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36"/>
      <c r="BA852" s="36"/>
      <c r="BB852" s="36"/>
      <c r="BC852" s="36"/>
      <c r="BD852" s="36"/>
      <c r="BE852" s="36"/>
      <c r="BF852" s="36"/>
      <c r="BG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36"/>
      <c r="BA853" s="36"/>
      <c r="BB853" s="36"/>
      <c r="BC853" s="36"/>
      <c r="BD853" s="36"/>
      <c r="BE853" s="36"/>
      <c r="BF853" s="36"/>
      <c r="BG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36"/>
      <c r="BA854" s="36"/>
      <c r="BB854" s="36"/>
      <c r="BC854" s="36"/>
      <c r="BD854" s="36"/>
      <c r="BE854" s="36"/>
      <c r="BF854" s="36"/>
      <c r="BG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36"/>
      <c r="BA855" s="36"/>
      <c r="BB855" s="36"/>
      <c r="BC855" s="36"/>
      <c r="BD855" s="36"/>
      <c r="BE855" s="36"/>
      <c r="BF855" s="36"/>
      <c r="BG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36"/>
      <c r="BA856" s="36"/>
      <c r="BB856" s="36"/>
      <c r="BC856" s="36"/>
      <c r="BD856" s="36"/>
      <c r="BE856" s="36"/>
      <c r="BF856" s="36"/>
      <c r="BG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36"/>
      <c r="BA857" s="36"/>
      <c r="BB857" s="36"/>
      <c r="BC857" s="36"/>
      <c r="BD857" s="36"/>
      <c r="BE857" s="36"/>
      <c r="BF857" s="36"/>
      <c r="BG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36"/>
      <c r="BA858" s="36"/>
      <c r="BB858" s="36"/>
      <c r="BC858" s="36"/>
      <c r="BD858" s="36"/>
      <c r="BE858" s="36"/>
      <c r="BF858" s="36"/>
      <c r="BG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36"/>
      <c r="BA859" s="36"/>
      <c r="BB859" s="36"/>
      <c r="BC859" s="36"/>
      <c r="BD859" s="36"/>
      <c r="BE859" s="36"/>
      <c r="BF859" s="36"/>
      <c r="BG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36"/>
      <c r="BA860" s="36"/>
      <c r="BB860" s="36"/>
      <c r="BC860" s="36"/>
      <c r="BD860" s="36"/>
      <c r="BE860" s="36"/>
      <c r="BF860" s="36"/>
      <c r="BG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36"/>
      <c r="BA861" s="36"/>
      <c r="BB861" s="36"/>
      <c r="BC861" s="36"/>
      <c r="BD861" s="36"/>
      <c r="BE861" s="36"/>
      <c r="BF861" s="36"/>
      <c r="BG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36"/>
      <c r="BA862" s="36"/>
      <c r="BB862" s="36"/>
      <c r="BC862" s="36"/>
      <c r="BD862" s="36"/>
      <c r="BE862" s="36"/>
      <c r="BF862" s="36"/>
      <c r="BG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36"/>
      <c r="BA863" s="36"/>
      <c r="BB863" s="36"/>
      <c r="BC863" s="36"/>
      <c r="BD863" s="36"/>
      <c r="BE863" s="36"/>
      <c r="BF863" s="36"/>
      <c r="BG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36"/>
      <c r="BA864" s="36"/>
      <c r="BB864" s="36"/>
      <c r="BC864" s="36"/>
      <c r="BD864" s="36"/>
      <c r="BE864" s="36"/>
      <c r="BF864" s="36"/>
      <c r="BG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36"/>
      <c r="BA865" s="36"/>
      <c r="BB865" s="36"/>
      <c r="BC865" s="36"/>
      <c r="BD865" s="36"/>
      <c r="BE865" s="36"/>
      <c r="BF865" s="36"/>
      <c r="BG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36"/>
      <c r="BA866" s="36"/>
      <c r="BB866" s="36"/>
      <c r="BC866" s="36"/>
      <c r="BD866" s="36"/>
      <c r="BE866" s="36"/>
      <c r="BF866" s="36"/>
      <c r="BG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36"/>
      <c r="BA867" s="36"/>
      <c r="BB867" s="36"/>
      <c r="BC867" s="36"/>
      <c r="BD867" s="36"/>
      <c r="BE867" s="36"/>
      <c r="BF867" s="36"/>
      <c r="BG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36"/>
      <c r="BA868" s="36"/>
      <c r="BB868" s="36"/>
      <c r="BC868" s="36"/>
      <c r="BD868" s="36"/>
      <c r="BE868" s="36"/>
      <c r="BF868" s="36"/>
      <c r="BG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36"/>
      <c r="BA869" s="36"/>
      <c r="BB869" s="36"/>
      <c r="BC869" s="36"/>
      <c r="BD869" s="36"/>
      <c r="BE869" s="36"/>
      <c r="BF869" s="36"/>
      <c r="BG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36"/>
      <c r="BA870" s="36"/>
      <c r="BB870" s="36"/>
      <c r="BC870" s="36"/>
      <c r="BD870" s="36"/>
      <c r="BE870" s="36"/>
      <c r="BF870" s="36"/>
      <c r="BG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36"/>
      <c r="BA871" s="36"/>
      <c r="BB871" s="36"/>
      <c r="BC871" s="36"/>
      <c r="BD871" s="36"/>
      <c r="BE871" s="36"/>
      <c r="BF871" s="36"/>
      <c r="BG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36"/>
      <c r="BA872" s="36"/>
      <c r="BB872" s="36"/>
      <c r="BC872" s="36"/>
      <c r="BD872" s="36"/>
      <c r="BE872" s="36"/>
      <c r="BF872" s="36"/>
      <c r="BG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36"/>
      <c r="BA873" s="36"/>
      <c r="BB873" s="36"/>
      <c r="BC873" s="36"/>
      <c r="BD873" s="36"/>
      <c r="BE873" s="36"/>
      <c r="BF873" s="36"/>
      <c r="BG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36"/>
      <c r="BA874" s="36"/>
      <c r="BB874" s="36"/>
      <c r="BC874" s="36"/>
      <c r="BD874" s="36"/>
      <c r="BE874" s="36"/>
      <c r="BF874" s="36"/>
      <c r="BG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36"/>
      <c r="BA875" s="36"/>
      <c r="BB875" s="36"/>
      <c r="BC875" s="36"/>
      <c r="BD875" s="36"/>
      <c r="BE875" s="36"/>
      <c r="BF875" s="36"/>
      <c r="BG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36"/>
      <c r="BA876" s="36"/>
      <c r="BB876" s="36"/>
      <c r="BC876" s="36"/>
      <c r="BD876" s="36"/>
      <c r="BE876" s="36"/>
      <c r="BF876" s="36"/>
      <c r="BG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36"/>
      <c r="BA877" s="36"/>
      <c r="BB877" s="36"/>
      <c r="BC877" s="36"/>
      <c r="BD877" s="36"/>
      <c r="BE877" s="36"/>
      <c r="BF877" s="36"/>
      <c r="BG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36"/>
      <c r="BA878" s="36"/>
      <c r="BB878" s="36"/>
      <c r="BC878" s="36"/>
      <c r="BD878" s="36"/>
      <c r="BE878" s="36"/>
      <c r="BF878" s="36"/>
      <c r="BG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36"/>
      <c r="BA879" s="36"/>
      <c r="BB879" s="36"/>
      <c r="BC879" s="36"/>
      <c r="BD879" s="36"/>
      <c r="BE879" s="36"/>
      <c r="BF879" s="36"/>
      <c r="BG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36"/>
      <c r="BA880" s="36"/>
      <c r="BB880" s="36"/>
      <c r="BC880" s="36"/>
      <c r="BD880" s="36"/>
      <c r="BE880" s="36"/>
      <c r="BF880" s="36"/>
      <c r="BG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36"/>
      <c r="BA881" s="36"/>
      <c r="BB881" s="36"/>
      <c r="BC881" s="36"/>
      <c r="BD881" s="36"/>
      <c r="BE881" s="36"/>
      <c r="BF881" s="36"/>
      <c r="BG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36"/>
      <c r="BA882" s="36"/>
      <c r="BB882" s="36"/>
      <c r="BC882" s="36"/>
      <c r="BD882" s="36"/>
      <c r="BE882" s="36"/>
      <c r="BF882" s="36"/>
      <c r="BG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36"/>
      <c r="BA883" s="36"/>
      <c r="BB883" s="36"/>
      <c r="BC883" s="36"/>
      <c r="BD883" s="36"/>
      <c r="BE883" s="36"/>
      <c r="BF883" s="36"/>
      <c r="BG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36"/>
      <c r="BA884" s="36"/>
      <c r="BB884" s="36"/>
      <c r="BC884" s="36"/>
      <c r="BD884" s="36"/>
      <c r="BE884" s="36"/>
      <c r="BF884" s="36"/>
      <c r="BG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36"/>
      <c r="BA885" s="36"/>
      <c r="BB885" s="36"/>
      <c r="BC885" s="36"/>
      <c r="BD885" s="36"/>
      <c r="BE885" s="36"/>
      <c r="BF885" s="36"/>
      <c r="BG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36"/>
      <c r="BA886" s="36"/>
      <c r="BB886" s="36"/>
      <c r="BC886" s="36"/>
      <c r="BD886" s="36"/>
      <c r="BE886" s="36"/>
      <c r="BF886" s="36"/>
      <c r="BG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36"/>
      <c r="BA887" s="36"/>
      <c r="BB887" s="36"/>
      <c r="BC887" s="36"/>
      <c r="BD887" s="36"/>
      <c r="BE887" s="36"/>
      <c r="BF887" s="36"/>
      <c r="BG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36"/>
      <c r="BA888" s="36"/>
      <c r="BB888" s="36"/>
      <c r="BC888" s="36"/>
      <c r="BD888" s="36"/>
      <c r="BE888" s="36"/>
      <c r="BF888" s="36"/>
      <c r="BG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36"/>
      <c r="BA889" s="36"/>
      <c r="BB889" s="36"/>
      <c r="BC889" s="36"/>
      <c r="BD889" s="36"/>
      <c r="BE889" s="36"/>
      <c r="BF889" s="36"/>
      <c r="BG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36"/>
      <c r="BA890" s="36"/>
      <c r="BB890" s="36"/>
      <c r="BC890" s="36"/>
      <c r="BD890" s="36"/>
      <c r="BE890" s="36"/>
      <c r="BF890" s="36"/>
      <c r="BG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36"/>
      <c r="BA891" s="36"/>
      <c r="BB891" s="36"/>
      <c r="BC891" s="36"/>
      <c r="BD891" s="36"/>
      <c r="BE891" s="36"/>
      <c r="BF891" s="36"/>
      <c r="BG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36"/>
      <c r="BA892" s="36"/>
      <c r="BB892" s="36"/>
      <c r="BC892" s="36"/>
      <c r="BD892" s="36"/>
      <c r="BE892" s="36"/>
      <c r="BF892" s="36"/>
      <c r="BG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36"/>
      <c r="BA893" s="36"/>
      <c r="BB893" s="36"/>
      <c r="BC893" s="36"/>
      <c r="BD893" s="36"/>
      <c r="BE893" s="36"/>
      <c r="BF893" s="36"/>
      <c r="BG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36"/>
      <c r="BA894" s="36"/>
      <c r="BB894" s="36"/>
      <c r="BC894" s="36"/>
      <c r="BD894" s="36"/>
      <c r="BE894" s="36"/>
      <c r="BF894" s="36"/>
      <c r="BG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36"/>
      <c r="BA895" s="36"/>
      <c r="BB895" s="36"/>
      <c r="BC895" s="36"/>
      <c r="BD895" s="36"/>
      <c r="BE895" s="36"/>
      <c r="BF895" s="36"/>
      <c r="BG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36"/>
      <c r="BA896" s="36"/>
      <c r="BB896" s="36"/>
      <c r="BC896" s="36"/>
      <c r="BD896" s="36"/>
      <c r="BE896" s="36"/>
      <c r="BF896" s="36"/>
      <c r="BG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36"/>
      <c r="BA897" s="36"/>
      <c r="BB897" s="36"/>
      <c r="BC897" s="36"/>
      <c r="BD897" s="36"/>
      <c r="BE897" s="36"/>
      <c r="BF897" s="36"/>
      <c r="BG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36"/>
      <c r="BA898" s="36"/>
      <c r="BB898" s="36"/>
      <c r="BC898" s="36"/>
      <c r="BD898" s="36"/>
      <c r="BE898" s="36"/>
      <c r="BF898" s="36"/>
      <c r="BG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36"/>
      <c r="BA899" s="36"/>
      <c r="BB899" s="36"/>
      <c r="BC899" s="36"/>
      <c r="BD899" s="36"/>
      <c r="BE899" s="36"/>
      <c r="BF899" s="36"/>
      <c r="BG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36"/>
      <c r="BA900" s="36"/>
      <c r="BB900" s="36"/>
      <c r="BC900" s="36"/>
      <c r="BD900" s="36"/>
      <c r="BE900" s="36"/>
      <c r="BF900" s="36"/>
      <c r="BG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36"/>
      <c r="BA901" s="36"/>
      <c r="BB901" s="36"/>
      <c r="BC901" s="36"/>
      <c r="BD901" s="36"/>
      <c r="BE901" s="36"/>
      <c r="BF901" s="36"/>
      <c r="BG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36"/>
      <c r="BA902" s="36"/>
      <c r="BB902" s="36"/>
      <c r="BC902" s="36"/>
      <c r="BD902" s="36"/>
      <c r="BE902" s="36"/>
      <c r="BF902" s="36"/>
      <c r="BG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36"/>
      <c r="BA903" s="36"/>
      <c r="BB903" s="36"/>
      <c r="BC903" s="36"/>
      <c r="BD903" s="36"/>
      <c r="BE903" s="36"/>
      <c r="BF903" s="36"/>
      <c r="BG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36"/>
      <c r="BA904" s="36"/>
      <c r="BB904" s="36"/>
      <c r="BC904" s="36"/>
      <c r="BD904" s="36"/>
      <c r="BE904" s="36"/>
      <c r="BF904" s="36"/>
      <c r="BG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36"/>
      <c r="BA905" s="36"/>
      <c r="BB905" s="36"/>
      <c r="BC905" s="36"/>
      <c r="BD905" s="36"/>
      <c r="BE905" s="36"/>
      <c r="BF905" s="36"/>
      <c r="BG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36"/>
      <c r="BA906" s="36"/>
      <c r="BB906" s="36"/>
      <c r="BC906" s="36"/>
      <c r="BD906" s="36"/>
      <c r="BE906" s="36"/>
      <c r="BF906" s="36"/>
      <c r="BG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36"/>
      <c r="BA907" s="36"/>
      <c r="BB907" s="36"/>
      <c r="BC907" s="36"/>
      <c r="BD907" s="36"/>
      <c r="BE907" s="36"/>
      <c r="BF907" s="36"/>
      <c r="BG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36"/>
      <c r="BA908" s="36"/>
      <c r="BB908" s="36"/>
      <c r="BC908" s="36"/>
      <c r="BD908" s="36"/>
      <c r="BE908" s="36"/>
      <c r="BF908" s="36"/>
      <c r="BG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36"/>
      <c r="BA909" s="36"/>
      <c r="BB909" s="36"/>
      <c r="BC909" s="36"/>
      <c r="BD909" s="36"/>
      <c r="BE909" s="36"/>
      <c r="BF909" s="36"/>
      <c r="BG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36"/>
      <c r="BA910" s="36"/>
      <c r="BB910" s="36"/>
      <c r="BC910" s="36"/>
      <c r="BD910" s="36"/>
      <c r="BE910" s="36"/>
      <c r="BF910" s="36"/>
      <c r="BG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36"/>
      <c r="BA911" s="36"/>
      <c r="BB911" s="36"/>
      <c r="BC911" s="36"/>
      <c r="BD911" s="36"/>
      <c r="BE911" s="36"/>
      <c r="BF911" s="36"/>
      <c r="BG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36"/>
      <c r="BA912" s="36"/>
      <c r="BB912" s="36"/>
      <c r="BC912" s="36"/>
      <c r="BD912" s="36"/>
      <c r="BE912" s="36"/>
      <c r="BF912" s="36"/>
      <c r="BG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36"/>
      <c r="BA913" s="36"/>
      <c r="BB913" s="36"/>
      <c r="BC913" s="36"/>
      <c r="BD913" s="36"/>
      <c r="BE913" s="36"/>
      <c r="BF913" s="36"/>
      <c r="BG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36"/>
      <c r="BA914" s="36"/>
      <c r="BB914" s="36"/>
      <c r="BC914" s="36"/>
      <c r="BD914" s="36"/>
      <c r="BE914" s="36"/>
      <c r="BF914" s="36"/>
      <c r="BG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36"/>
      <c r="BA915" s="36"/>
      <c r="BB915" s="36"/>
      <c r="BC915" s="36"/>
      <c r="BD915" s="36"/>
      <c r="BE915" s="36"/>
      <c r="BF915" s="36"/>
      <c r="BG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36"/>
      <c r="BA916" s="36"/>
      <c r="BB916" s="36"/>
      <c r="BC916" s="36"/>
      <c r="BD916" s="36"/>
      <c r="BE916" s="36"/>
      <c r="BF916" s="36"/>
      <c r="BG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36"/>
      <c r="BA917" s="36"/>
      <c r="BB917" s="36"/>
      <c r="BC917" s="36"/>
      <c r="BD917" s="36"/>
      <c r="BE917" s="36"/>
      <c r="BF917" s="36"/>
      <c r="BG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36"/>
      <c r="BA918" s="36"/>
      <c r="BB918" s="36"/>
      <c r="BC918" s="36"/>
      <c r="BD918" s="36"/>
      <c r="BE918" s="36"/>
      <c r="BF918" s="36"/>
      <c r="BG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36"/>
      <c r="BA919" s="36"/>
      <c r="BB919" s="36"/>
      <c r="BC919" s="36"/>
      <c r="BD919" s="36"/>
      <c r="BE919" s="36"/>
      <c r="BF919" s="36"/>
      <c r="BG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36"/>
      <c r="BA920" s="36"/>
      <c r="BB920" s="36"/>
      <c r="BC920" s="36"/>
      <c r="BD920" s="36"/>
      <c r="BE920" s="36"/>
      <c r="BF920" s="36"/>
      <c r="BG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36"/>
      <c r="BA921" s="36"/>
      <c r="BB921" s="36"/>
      <c r="BC921" s="36"/>
      <c r="BD921" s="36"/>
      <c r="BE921" s="36"/>
      <c r="BF921" s="36"/>
      <c r="BG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36"/>
      <c r="BA922" s="36"/>
      <c r="BB922" s="36"/>
      <c r="BC922" s="36"/>
      <c r="BD922" s="36"/>
      <c r="BE922" s="36"/>
      <c r="BF922" s="36"/>
      <c r="BG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36"/>
      <c r="BA923" s="36"/>
      <c r="BB923" s="36"/>
      <c r="BC923" s="36"/>
      <c r="BD923" s="36"/>
      <c r="BE923" s="36"/>
      <c r="BF923" s="36"/>
      <c r="BG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36"/>
      <c r="BA924" s="36"/>
      <c r="BB924" s="36"/>
      <c r="BC924" s="36"/>
      <c r="BD924" s="36"/>
      <c r="BE924" s="36"/>
      <c r="BF924" s="36"/>
      <c r="BG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36"/>
      <c r="BA925" s="36"/>
      <c r="BB925" s="36"/>
      <c r="BC925" s="36"/>
      <c r="BD925" s="36"/>
      <c r="BE925" s="36"/>
      <c r="BF925" s="36"/>
      <c r="BG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36"/>
      <c r="BA926" s="36"/>
      <c r="BB926" s="36"/>
      <c r="BC926" s="36"/>
      <c r="BD926" s="36"/>
      <c r="BE926" s="36"/>
      <c r="BF926" s="36"/>
      <c r="BG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36"/>
      <c r="BA927" s="36"/>
      <c r="BB927" s="36"/>
      <c r="BC927" s="36"/>
      <c r="BD927" s="36"/>
      <c r="BE927" s="36"/>
      <c r="BF927" s="36"/>
      <c r="BG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36"/>
      <c r="BA928" s="36"/>
      <c r="BB928" s="36"/>
      <c r="BC928" s="36"/>
      <c r="BD928" s="36"/>
      <c r="BE928" s="36"/>
      <c r="BF928" s="36"/>
      <c r="BG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36"/>
      <c r="BA929" s="36"/>
      <c r="BB929" s="36"/>
      <c r="BC929" s="36"/>
      <c r="BD929" s="36"/>
      <c r="BE929" s="36"/>
      <c r="BF929" s="36"/>
      <c r="BG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36"/>
      <c r="BA930" s="36"/>
      <c r="BB930" s="36"/>
      <c r="BC930" s="36"/>
      <c r="BD930" s="36"/>
      <c r="BE930" s="36"/>
      <c r="BF930" s="36"/>
      <c r="BG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36"/>
      <c r="BA931" s="36"/>
      <c r="BB931" s="36"/>
      <c r="BC931" s="36"/>
      <c r="BD931" s="36"/>
      <c r="BE931" s="36"/>
      <c r="BF931" s="36"/>
      <c r="BG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36"/>
      <c r="BA932" s="36"/>
      <c r="BB932" s="36"/>
      <c r="BC932" s="36"/>
      <c r="BD932" s="36"/>
      <c r="BE932" s="36"/>
      <c r="BF932" s="36"/>
      <c r="BG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36"/>
      <c r="BA933" s="36"/>
      <c r="BB933" s="36"/>
      <c r="BC933" s="36"/>
      <c r="BD933" s="36"/>
      <c r="BE933" s="36"/>
      <c r="BF933" s="36"/>
      <c r="BG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36"/>
      <c r="BA934" s="36"/>
      <c r="BB934" s="36"/>
      <c r="BC934" s="36"/>
      <c r="BD934" s="36"/>
      <c r="BE934" s="36"/>
      <c r="BF934" s="36"/>
      <c r="BG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36"/>
      <c r="BA935" s="36"/>
      <c r="BB935" s="36"/>
      <c r="BC935" s="36"/>
      <c r="BD935" s="36"/>
      <c r="BE935" s="36"/>
      <c r="BF935" s="36"/>
      <c r="BG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36"/>
      <c r="BA936" s="36"/>
      <c r="BB936" s="36"/>
      <c r="BC936" s="36"/>
      <c r="BD936" s="36"/>
      <c r="BE936" s="36"/>
      <c r="BF936" s="36"/>
      <c r="BG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36"/>
      <c r="BA937" s="36"/>
      <c r="BB937" s="36"/>
      <c r="BC937" s="36"/>
      <c r="BD937" s="36"/>
      <c r="BE937" s="36"/>
      <c r="BF937" s="36"/>
      <c r="BG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36"/>
      <c r="BA938" s="36"/>
      <c r="BB938" s="36"/>
      <c r="BC938" s="36"/>
      <c r="BD938" s="36"/>
      <c r="BE938" s="36"/>
      <c r="BF938" s="36"/>
      <c r="BG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36"/>
      <c r="BA939" s="36"/>
      <c r="BB939" s="36"/>
      <c r="BC939" s="36"/>
      <c r="BD939" s="36"/>
      <c r="BE939" s="36"/>
      <c r="BF939" s="36"/>
      <c r="BG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36"/>
      <c r="BA940" s="36"/>
      <c r="BB940" s="36"/>
      <c r="BC940" s="36"/>
      <c r="BD940" s="36"/>
      <c r="BE940" s="36"/>
      <c r="BF940" s="36"/>
      <c r="BG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36"/>
      <c r="BA941" s="36"/>
      <c r="BB941" s="36"/>
      <c r="BC941" s="36"/>
      <c r="BD941" s="36"/>
      <c r="BE941" s="36"/>
      <c r="BF941" s="36"/>
      <c r="BG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36"/>
      <c r="BA942" s="36"/>
      <c r="BB942" s="36"/>
      <c r="BC942" s="36"/>
      <c r="BD942" s="36"/>
      <c r="BE942" s="36"/>
      <c r="BF942" s="36"/>
      <c r="BG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36"/>
      <c r="BA943" s="36"/>
      <c r="BB943" s="36"/>
      <c r="BC943" s="36"/>
      <c r="BD943" s="36"/>
      <c r="BE943" s="36"/>
      <c r="BF943" s="36"/>
      <c r="BG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36"/>
      <c r="BA944" s="36"/>
      <c r="BB944" s="36"/>
      <c r="BC944" s="36"/>
      <c r="BD944" s="36"/>
      <c r="BE944" s="36"/>
      <c r="BF944" s="36"/>
      <c r="BG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36"/>
      <c r="BA945" s="36"/>
      <c r="BB945" s="36"/>
      <c r="BC945" s="36"/>
      <c r="BD945" s="36"/>
      <c r="BE945" s="36"/>
      <c r="BF945" s="36"/>
      <c r="BG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36"/>
      <c r="BA946" s="36"/>
      <c r="BB946" s="36"/>
      <c r="BC946" s="36"/>
      <c r="BD946" s="36"/>
      <c r="BE946" s="36"/>
      <c r="BF946" s="36"/>
      <c r="BG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36"/>
      <c r="BA947" s="36"/>
      <c r="BB947" s="36"/>
      <c r="BC947" s="36"/>
      <c r="BD947" s="36"/>
      <c r="BE947" s="36"/>
      <c r="BF947" s="36"/>
      <c r="BG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36"/>
      <c r="BA948" s="36"/>
      <c r="BB948" s="36"/>
      <c r="BC948" s="36"/>
      <c r="BD948" s="36"/>
      <c r="BE948" s="36"/>
      <c r="BF948" s="36"/>
      <c r="BG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36"/>
      <c r="BA949" s="36"/>
      <c r="BB949" s="36"/>
      <c r="BC949" s="36"/>
      <c r="BD949" s="36"/>
      <c r="BE949" s="36"/>
      <c r="BF949" s="36"/>
      <c r="BG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36"/>
      <c r="BA950" s="36"/>
      <c r="BB950" s="36"/>
      <c r="BC950" s="36"/>
      <c r="BD950" s="36"/>
      <c r="BE950" s="36"/>
      <c r="BF950" s="36"/>
      <c r="BG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36"/>
      <c r="BA951" s="36"/>
      <c r="BB951" s="36"/>
      <c r="BC951" s="36"/>
      <c r="BD951" s="36"/>
      <c r="BE951" s="36"/>
      <c r="BF951" s="36"/>
      <c r="BG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36"/>
      <c r="BA952" s="36"/>
      <c r="BB952" s="36"/>
      <c r="BC952" s="36"/>
      <c r="BD952" s="36"/>
      <c r="BE952" s="36"/>
      <c r="BF952" s="36"/>
      <c r="BG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36"/>
      <c r="BA953" s="36"/>
      <c r="BB953" s="36"/>
      <c r="BC953" s="36"/>
      <c r="BD953" s="36"/>
      <c r="BE953" s="36"/>
      <c r="BF953" s="36"/>
      <c r="BG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36"/>
      <c r="BA954" s="36"/>
      <c r="BB954" s="36"/>
      <c r="BC954" s="36"/>
      <c r="BD954" s="36"/>
      <c r="BE954" s="36"/>
      <c r="BF954" s="36"/>
      <c r="BG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36"/>
      <c r="BA955" s="36"/>
      <c r="BB955" s="36"/>
      <c r="BC955" s="36"/>
      <c r="BD955" s="36"/>
      <c r="BE955" s="36"/>
      <c r="BF955" s="36"/>
      <c r="BG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36"/>
      <c r="BA956" s="36"/>
      <c r="BB956" s="36"/>
      <c r="BC956" s="36"/>
      <c r="BD956" s="36"/>
      <c r="BE956" s="36"/>
      <c r="BF956" s="36"/>
      <c r="BG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36"/>
      <c r="BA957" s="36"/>
      <c r="BB957" s="36"/>
      <c r="BC957" s="36"/>
      <c r="BD957" s="36"/>
      <c r="BE957" s="36"/>
      <c r="BF957" s="36"/>
      <c r="BG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36"/>
      <c r="BA958" s="36"/>
      <c r="BB958" s="36"/>
      <c r="BC958" s="36"/>
      <c r="BD958" s="36"/>
      <c r="BE958" s="36"/>
      <c r="BF958" s="36"/>
      <c r="BG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36"/>
      <c r="BA959" s="36"/>
      <c r="BB959" s="36"/>
      <c r="BC959" s="36"/>
      <c r="BD959" s="36"/>
      <c r="BE959" s="36"/>
      <c r="BF959" s="36"/>
      <c r="BG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36"/>
      <c r="BA960" s="36"/>
      <c r="BB960" s="36"/>
      <c r="BC960" s="36"/>
      <c r="BD960" s="36"/>
      <c r="BE960" s="36"/>
      <c r="BF960" s="36"/>
      <c r="BG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36"/>
      <c r="BA961" s="36"/>
      <c r="BB961" s="36"/>
      <c r="BC961" s="36"/>
      <c r="BD961" s="36"/>
      <c r="BE961" s="36"/>
      <c r="BF961" s="36"/>
      <c r="BG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36"/>
      <c r="BA962" s="36"/>
      <c r="BB962" s="36"/>
      <c r="BC962" s="36"/>
      <c r="BD962" s="36"/>
      <c r="BE962" s="36"/>
      <c r="BF962" s="36"/>
      <c r="BG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36"/>
      <c r="BA963" s="36"/>
      <c r="BB963" s="36"/>
      <c r="BC963" s="36"/>
      <c r="BD963" s="36"/>
      <c r="BE963" s="36"/>
      <c r="BF963" s="36"/>
      <c r="BG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36"/>
      <c r="BA964" s="36"/>
      <c r="BB964" s="36"/>
      <c r="BC964" s="36"/>
      <c r="BD964" s="36"/>
      <c r="BE964" s="36"/>
      <c r="BF964" s="36"/>
      <c r="BG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36"/>
      <c r="BA965" s="36"/>
      <c r="BB965" s="36"/>
      <c r="BC965" s="36"/>
      <c r="BD965" s="36"/>
      <c r="BE965" s="36"/>
      <c r="BF965" s="36"/>
      <c r="BG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36"/>
      <c r="BA966" s="36"/>
      <c r="BB966" s="36"/>
      <c r="BC966" s="36"/>
      <c r="BD966" s="36"/>
      <c r="BE966" s="36"/>
      <c r="BF966" s="36"/>
      <c r="BG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36"/>
      <c r="BA967" s="36"/>
      <c r="BB967" s="36"/>
      <c r="BC967" s="36"/>
      <c r="BD967" s="36"/>
      <c r="BE967" s="36"/>
      <c r="BF967" s="36"/>
      <c r="BG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36"/>
      <c r="BA968" s="36"/>
      <c r="BB968" s="36"/>
      <c r="BC968" s="36"/>
      <c r="BD968" s="36"/>
      <c r="BE968" s="36"/>
      <c r="BF968" s="36"/>
      <c r="BG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36"/>
      <c r="BA969" s="36"/>
      <c r="BB969" s="36"/>
      <c r="BC969" s="36"/>
      <c r="BD969" s="36"/>
      <c r="BE969" s="36"/>
      <c r="BF969" s="36"/>
      <c r="BG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36"/>
      <c r="BA970" s="36"/>
      <c r="BB970" s="36"/>
      <c r="BC970" s="36"/>
      <c r="BD970" s="36"/>
      <c r="BE970" s="36"/>
      <c r="BF970" s="36"/>
      <c r="BG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36"/>
      <c r="BA971" s="36"/>
      <c r="BB971" s="36"/>
      <c r="BC971" s="36"/>
      <c r="BD971" s="36"/>
      <c r="BE971" s="36"/>
      <c r="BF971" s="36"/>
      <c r="BG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36"/>
      <c r="BA972" s="36"/>
      <c r="BB972" s="36"/>
      <c r="BC972" s="36"/>
      <c r="BD972" s="36"/>
      <c r="BE972" s="36"/>
      <c r="BF972" s="36"/>
      <c r="BG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36"/>
      <c r="BA973" s="36"/>
      <c r="BB973" s="36"/>
      <c r="BC973" s="36"/>
      <c r="BD973" s="36"/>
      <c r="BE973" s="36"/>
      <c r="BF973" s="36"/>
      <c r="BG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36"/>
      <c r="BA974" s="36"/>
      <c r="BB974" s="36"/>
      <c r="BC974" s="36"/>
      <c r="BD974" s="36"/>
      <c r="BE974" s="36"/>
      <c r="BF974" s="36"/>
      <c r="BG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36"/>
      <c r="BA975" s="36"/>
      <c r="BB975" s="36"/>
      <c r="BC975" s="36"/>
      <c r="BD975" s="36"/>
      <c r="BE975" s="36"/>
      <c r="BF975" s="36"/>
      <c r="BG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36"/>
      <c r="BA976" s="36"/>
      <c r="BB976" s="36"/>
      <c r="BC976" s="36"/>
      <c r="BD976" s="36"/>
      <c r="BE976" s="36"/>
      <c r="BF976" s="36"/>
      <c r="BG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36"/>
      <c r="BA977" s="36"/>
      <c r="BB977" s="36"/>
      <c r="BC977" s="36"/>
      <c r="BD977" s="36"/>
      <c r="BE977" s="36"/>
      <c r="BF977" s="36"/>
      <c r="BG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36"/>
      <c r="BA978" s="36"/>
      <c r="BB978" s="36"/>
      <c r="BC978" s="36"/>
      <c r="BD978" s="36"/>
      <c r="BE978" s="36"/>
      <c r="BF978" s="36"/>
      <c r="BG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36"/>
      <c r="BA979" s="36"/>
      <c r="BB979" s="36"/>
      <c r="BC979" s="36"/>
      <c r="BD979" s="36"/>
      <c r="BE979" s="36"/>
      <c r="BF979" s="36"/>
      <c r="BG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36"/>
      <c r="BA980" s="36"/>
      <c r="BB980" s="36"/>
      <c r="BC980" s="36"/>
      <c r="BD980" s="36"/>
      <c r="BE980" s="36"/>
      <c r="BF980" s="36"/>
      <c r="BG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36"/>
      <c r="BA981" s="36"/>
      <c r="BB981" s="36"/>
      <c r="BC981" s="36"/>
      <c r="BD981" s="36"/>
      <c r="BE981" s="36"/>
      <c r="BF981" s="36"/>
      <c r="BG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36"/>
      <c r="BA982" s="36"/>
      <c r="BB982" s="36"/>
      <c r="BC982" s="36"/>
      <c r="BD982" s="36"/>
      <c r="BE982" s="36"/>
      <c r="BF982" s="36"/>
      <c r="BG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36"/>
      <c r="BA983" s="36"/>
      <c r="BB983" s="36"/>
      <c r="BC983" s="36"/>
      <c r="BD983" s="36"/>
      <c r="BE983" s="36"/>
      <c r="BF983" s="36"/>
      <c r="BG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36"/>
      <c r="BA984" s="36"/>
      <c r="BB984" s="36"/>
      <c r="BC984" s="36"/>
      <c r="BD984" s="36"/>
      <c r="BE984" s="36"/>
      <c r="BF984" s="36"/>
      <c r="BG984" s="36"/>
    </row>
  </sheetData>
  <mergeCells count="3">
    <mergeCell ref="B7:AG7"/>
    <mergeCell ref="G8:W8"/>
    <mergeCell ref="Y8:AG8"/>
  </mergeCells>
  <hyperlinks>
    <hyperlink r:id="rId1" ref="A3"/>
    <hyperlink r:id="rId2" ref="A4"/>
    <hyperlink r:id="rId3" ref="A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5" width="4.75"/>
    <col customWidth="1" min="6" max="6" width="0.38"/>
    <col customWidth="1" min="7" max="7" width="4.25"/>
    <col customWidth="1" min="9" max="20" width="4.25"/>
    <col customWidth="1" min="21" max="21" width="8.13"/>
    <col customWidth="1" min="22" max="22" width="0.38"/>
    <col customWidth="1" min="23" max="23" width="4.25"/>
    <col customWidth="1" min="25" max="30" width="4.25"/>
    <col customWidth="1" min="31" max="31" width="8.25"/>
    <col customWidth="1" min="32" max="32" width="0.38"/>
  </cols>
  <sheetData>
    <row r="1">
      <c r="A1" s="37" t="s">
        <v>150</v>
      </c>
      <c r="B1" s="2"/>
      <c r="C1" s="38"/>
      <c r="D1" s="38"/>
      <c r="E1" s="38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A2" s="37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s="39" t="s">
        <v>152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40" t="s">
        <v>153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>
      <c r="A6" s="8" t="s">
        <v>154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9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ht="1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>
      <c r="A8" s="11" t="s">
        <v>155</v>
      </c>
      <c r="B8" s="12" t="s">
        <v>7</v>
      </c>
      <c r="C8" s="12" t="s">
        <v>8</v>
      </c>
      <c r="D8" s="12" t="s">
        <v>9</v>
      </c>
      <c r="E8" s="12" t="s">
        <v>10</v>
      </c>
      <c r="F8" s="13"/>
      <c r="G8" s="14" t="s">
        <v>156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  <c r="V8" s="13"/>
      <c r="W8" s="14" t="s">
        <v>157</v>
      </c>
      <c r="X8" s="15"/>
      <c r="Y8" s="15"/>
      <c r="Z8" s="15"/>
      <c r="AA8" s="15"/>
      <c r="AB8" s="15"/>
      <c r="AC8" s="15"/>
      <c r="AD8" s="15"/>
      <c r="AE8" s="16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>
      <c r="A9" s="17" t="s">
        <v>158</v>
      </c>
      <c r="B9" s="18" t="s">
        <v>14</v>
      </c>
      <c r="C9" s="18">
        <v>8.0</v>
      </c>
      <c r="D9" s="18">
        <v>1.0</v>
      </c>
      <c r="E9" s="18">
        <v>7.0</v>
      </c>
      <c r="F9" s="19"/>
      <c r="G9" s="20" t="s">
        <v>15</v>
      </c>
      <c r="H9" s="20" t="s">
        <v>159</v>
      </c>
      <c r="I9" s="20" t="s">
        <v>17</v>
      </c>
      <c r="J9" s="20" t="s">
        <v>18</v>
      </c>
      <c r="K9" s="20" t="s">
        <v>19</v>
      </c>
      <c r="L9" s="20" t="s">
        <v>21</v>
      </c>
      <c r="M9" s="20" t="s">
        <v>22</v>
      </c>
      <c r="N9" s="20" t="s">
        <v>34</v>
      </c>
      <c r="O9" s="20" t="s">
        <v>160</v>
      </c>
      <c r="P9" s="20" t="s">
        <v>25</v>
      </c>
      <c r="Q9" s="20" t="s">
        <v>26</v>
      </c>
      <c r="R9" s="20" t="s">
        <v>28</v>
      </c>
      <c r="S9" s="20" t="s">
        <v>29</v>
      </c>
      <c r="T9" s="20" t="s">
        <v>30</v>
      </c>
      <c r="U9" s="20" t="s">
        <v>31</v>
      </c>
      <c r="V9" s="19"/>
      <c r="W9" s="20" t="s">
        <v>15</v>
      </c>
      <c r="X9" s="20" t="s">
        <v>159</v>
      </c>
      <c r="Y9" s="20" t="s">
        <v>32</v>
      </c>
      <c r="Z9" s="20" t="s">
        <v>21</v>
      </c>
      <c r="AA9" s="20" t="s">
        <v>19</v>
      </c>
      <c r="AB9" s="20" t="s">
        <v>33</v>
      </c>
      <c r="AC9" s="20" t="s">
        <v>25</v>
      </c>
      <c r="AD9" s="20" t="s">
        <v>34</v>
      </c>
      <c r="AE9" s="20" t="s">
        <v>35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>
      <c r="A10" s="17" t="s">
        <v>161</v>
      </c>
      <c r="B10" s="18" t="s">
        <v>14</v>
      </c>
      <c r="C10" s="18">
        <v>11.0</v>
      </c>
      <c r="D10" s="18">
        <v>0.0</v>
      </c>
      <c r="E10" s="18">
        <v>11.0</v>
      </c>
      <c r="F10" s="19"/>
      <c r="G10" s="21">
        <v>20.0</v>
      </c>
      <c r="H10" s="22" t="s">
        <v>37</v>
      </c>
      <c r="I10" s="23" t="s">
        <v>162</v>
      </c>
      <c r="J10" s="23" t="s">
        <v>163</v>
      </c>
      <c r="K10" s="23" t="s">
        <v>164</v>
      </c>
      <c r="L10" s="23" t="s">
        <v>74</v>
      </c>
      <c r="M10" s="23" t="s">
        <v>165</v>
      </c>
      <c r="N10" s="23" t="s">
        <v>166</v>
      </c>
      <c r="O10" s="23" t="s">
        <v>167</v>
      </c>
      <c r="P10" s="23" t="s">
        <v>168</v>
      </c>
      <c r="Q10" s="23" t="s">
        <v>169</v>
      </c>
      <c r="R10" s="23" t="s">
        <v>103</v>
      </c>
      <c r="S10" s="23" t="s">
        <v>170</v>
      </c>
      <c r="T10" s="23" t="s">
        <v>171</v>
      </c>
      <c r="U10" s="25">
        <v>0.576</v>
      </c>
      <c r="V10" s="19"/>
      <c r="W10" s="41">
        <v>1.0</v>
      </c>
      <c r="X10" s="22" t="s">
        <v>98</v>
      </c>
      <c r="Y10" s="26">
        <v>131.0</v>
      </c>
      <c r="Z10" s="26">
        <v>56.0</v>
      </c>
      <c r="AA10" s="26">
        <v>42.0</v>
      </c>
      <c r="AB10" s="26">
        <v>14.0</v>
      </c>
      <c r="AC10" s="26">
        <v>16.0</v>
      </c>
      <c r="AD10" s="26">
        <v>2.0</v>
      </c>
      <c r="AE10" s="27">
        <f t="shared" ref="AE10:AE21" si="1">divide(AA10,Y10)</f>
        <v>0.320610687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>
      <c r="A11" s="17" t="s">
        <v>172</v>
      </c>
      <c r="B11" s="18" t="s">
        <v>14</v>
      </c>
      <c r="C11" s="18">
        <v>4.0</v>
      </c>
      <c r="D11" s="18">
        <v>2.0</v>
      </c>
      <c r="E11" s="18">
        <v>2.0</v>
      </c>
      <c r="F11" s="5"/>
      <c r="G11" s="21">
        <v>8.0</v>
      </c>
      <c r="H11" s="22" t="s">
        <v>82</v>
      </c>
      <c r="I11" s="23" t="s">
        <v>173</v>
      </c>
      <c r="J11" s="23" t="s">
        <v>174</v>
      </c>
      <c r="K11" s="23" t="s">
        <v>175</v>
      </c>
      <c r="L11" s="23" t="s">
        <v>173</v>
      </c>
      <c r="M11" s="23" t="s">
        <v>176</v>
      </c>
      <c r="N11" s="23" t="s">
        <v>177</v>
      </c>
      <c r="O11" s="23" t="s">
        <v>178</v>
      </c>
      <c r="P11" s="23" t="s">
        <v>162</v>
      </c>
      <c r="Q11" s="23" t="s">
        <v>179</v>
      </c>
      <c r="R11" s="23" t="s">
        <v>180</v>
      </c>
      <c r="S11" s="23" t="s">
        <v>78</v>
      </c>
      <c r="T11" s="23" t="s">
        <v>181</v>
      </c>
      <c r="U11" s="25">
        <v>0.641</v>
      </c>
      <c r="V11" s="19"/>
      <c r="W11" s="41">
        <v>20.0</v>
      </c>
      <c r="X11" s="22" t="s">
        <v>37</v>
      </c>
      <c r="Y11" s="26">
        <v>115.0</v>
      </c>
      <c r="Z11" s="26">
        <v>63.0</v>
      </c>
      <c r="AA11" s="26">
        <v>53.0</v>
      </c>
      <c r="AB11" s="26">
        <v>26.0</v>
      </c>
      <c r="AC11" s="26">
        <v>17.0</v>
      </c>
      <c r="AD11" s="26">
        <v>8.0</v>
      </c>
      <c r="AE11" s="27">
        <f t="shared" si="1"/>
        <v>0.4608695652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>
      <c r="A12" s="17" t="s">
        <v>182</v>
      </c>
      <c r="B12" s="18" t="s">
        <v>183</v>
      </c>
      <c r="C12" s="18">
        <v>2.0</v>
      </c>
      <c r="D12" s="18">
        <v>2.0</v>
      </c>
      <c r="E12" s="18">
        <v>0.0</v>
      </c>
      <c r="F12" s="5"/>
      <c r="G12" s="21">
        <v>2.0</v>
      </c>
      <c r="H12" s="21" t="s">
        <v>184</v>
      </c>
      <c r="I12" s="23" t="s">
        <v>162</v>
      </c>
      <c r="J12" s="23" t="s">
        <v>185</v>
      </c>
      <c r="K12" s="23" t="s">
        <v>186</v>
      </c>
      <c r="L12" s="23" t="s">
        <v>187</v>
      </c>
      <c r="M12" s="23" t="s">
        <v>41</v>
      </c>
      <c r="N12" s="23" t="s">
        <v>188</v>
      </c>
      <c r="O12" s="23" t="s">
        <v>189</v>
      </c>
      <c r="P12" s="23" t="s">
        <v>46</v>
      </c>
      <c r="Q12" s="23" t="s">
        <v>190</v>
      </c>
      <c r="R12" s="23" t="s">
        <v>48</v>
      </c>
      <c r="S12" s="23" t="s">
        <v>191</v>
      </c>
      <c r="T12" s="23" t="s">
        <v>192</v>
      </c>
      <c r="U12" s="25">
        <v>0.588</v>
      </c>
      <c r="V12" s="19"/>
      <c r="W12" s="41" t="s">
        <v>66</v>
      </c>
      <c r="X12" s="21" t="s">
        <v>67</v>
      </c>
      <c r="Y12" s="26">
        <v>113.0</v>
      </c>
      <c r="Z12" s="26">
        <v>31.0</v>
      </c>
      <c r="AA12" s="26">
        <v>38.0</v>
      </c>
      <c r="AB12" s="26">
        <v>40.0</v>
      </c>
      <c r="AC12" s="26">
        <v>14.0</v>
      </c>
      <c r="AD12" s="26">
        <v>13.0</v>
      </c>
      <c r="AE12" s="27">
        <f t="shared" si="1"/>
        <v>0.3362831858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>
      <c r="A13" s="17" t="s">
        <v>193</v>
      </c>
      <c r="B13" s="18" t="s">
        <v>14</v>
      </c>
      <c r="C13" s="18">
        <v>10.0</v>
      </c>
      <c r="D13" s="18">
        <v>5.0</v>
      </c>
      <c r="E13" s="18">
        <v>5.0</v>
      </c>
      <c r="F13" s="5"/>
      <c r="G13" s="21" t="s">
        <v>66</v>
      </c>
      <c r="H13" s="21" t="s">
        <v>67</v>
      </c>
      <c r="I13" s="23" t="s">
        <v>194</v>
      </c>
      <c r="J13" s="23" t="s">
        <v>195</v>
      </c>
      <c r="K13" s="23" t="s">
        <v>196</v>
      </c>
      <c r="L13" s="23" t="s">
        <v>197</v>
      </c>
      <c r="M13" s="23" t="s">
        <v>198</v>
      </c>
      <c r="N13" s="23" t="s">
        <v>199</v>
      </c>
      <c r="O13" s="23" t="s">
        <v>200</v>
      </c>
      <c r="P13" s="23" t="s">
        <v>72</v>
      </c>
      <c r="Q13" s="23" t="s">
        <v>201</v>
      </c>
      <c r="R13" s="23" t="s">
        <v>103</v>
      </c>
      <c r="S13" s="23" t="s">
        <v>202</v>
      </c>
      <c r="T13" s="23" t="s">
        <v>203</v>
      </c>
      <c r="U13" s="25">
        <v>0.587</v>
      </c>
      <c r="V13" s="19"/>
      <c r="W13" s="21" t="s">
        <v>204</v>
      </c>
      <c r="X13" s="21" t="s">
        <v>205</v>
      </c>
      <c r="Y13" s="26">
        <v>95.0</v>
      </c>
      <c r="Z13" s="26">
        <v>37.0</v>
      </c>
      <c r="AA13" s="26">
        <v>34.0</v>
      </c>
      <c r="AB13" s="26">
        <v>40.0</v>
      </c>
      <c r="AC13" s="26">
        <v>25.0</v>
      </c>
      <c r="AD13" s="26">
        <v>22.0</v>
      </c>
      <c r="AE13" s="27">
        <f t="shared" si="1"/>
        <v>0.3578947368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>
      <c r="A14" s="42" t="s">
        <v>206</v>
      </c>
      <c r="B14" s="18" t="s">
        <v>65</v>
      </c>
      <c r="C14" s="18">
        <v>2.0</v>
      </c>
      <c r="D14" s="18">
        <v>5.0</v>
      </c>
      <c r="E14" s="18">
        <v>-3.0</v>
      </c>
      <c r="F14" s="5"/>
      <c r="G14" s="21">
        <v>1.0</v>
      </c>
      <c r="H14" s="22" t="s">
        <v>98</v>
      </c>
      <c r="I14" s="23" t="s">
        <v>68</v>
      </c>
      <c r="J14" s="23" t="s">
        <v>207</v>
      </c>
      <c r="K14" s="23" t="s">
        <v>208</v>
      </c>
      <c r="L14" s="23" t="s">
        <v>83</v>
      </c>
      <c r="M14" s="23" t="s">
        <v>209</v>
      </c>
      <c r="N14" s="23" t="s">
        <v>210</v>
      </c>
      <c r="O14" s="23" t="s">
        <v>211</v>
      </c>
      <c r="P14" s="23" t="s">
        <v>212</v>
      </c>
      <c r="Q14" s="23" t="s">
        <v>179</v>
      </c>
      <c r="R14" s="23" t="s">
        <v>105</v>
      </c>
      <c r="S14" s="23" t="s">
        <v>213</v>
      </c>
      <c r="T14" s="23" t="s">
        <v>214</v>
      </c>
      <c r="U14" s="25">
        <v>0.606</v>
      </c>
      <c r="V14" s="19"/>
      <c r="W14" s="21">
        <v>32.0</v>
      </c>
      <c r="X14" s="22" t="s">
        <v>215</v>
      </c>
      <c r="Y14" s="26">
        <v>119.0</v>
      </c>
      <c r="Z14" s="26">
        <v>26.0</v>
      </c>
      <c r="AA14" s="26">
        <v>43.0</v>
      </c>
      <c r="AB14" s="26">
        <v>43.0</v>
      </c>
      <c r="AC14" s="26">
        <v>16.0</v>
      </c>
      <c r="AD14" s="26">
        <v>3.0</v>
      </c>
      <c r="AE14" s="27">
        <f t="shared" si="1"/>
        <v>0.3613445378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>
      <c r="A15" s="17" t="s">
        <v>216</v>
      </c>
      <c r="B15" s="18" t="s">
        <v>65</v>
      </c>
      <c r="C15" s="18">
        <v>1.0</v>
      </c>
      <c r="D15" s="18">
        <v>8.0</v>
      </c>
      <c r="E15" s="18">
        <v>-7.0</v>
      </c>
      <c r="F15" s="5"/>
      <c r="G15" s="21">
        <v>75.0</v>
      </c>
      <c r="H15" s="22" t="s">
        <v>217</v>
      </c>
      <c r="I15" s="23" t="s">
        <v>180</v>
      </c>
      <c r="J15" s="23" t="s">
        <v>218</v>
      </c>
      <c r="K15" s="23" t="s">
        <v>219</v>
      </c>
      <c r="L15" s="23" t="s">
        <v>219</v>
      </c>
      <c r="M15" s="23" t="s">
        <v>220</v>
      </c>
      <c r="N15" s="23" t="s">
        <v>103</v>
      </c>
      <c r="O15" s="23" t="s">
        <v>221</v>
      </c>
      <c r="P15" s="23" t="s">
        <v>180</v>
      </c>
      <c r="Q15" s="23" t="s">
        <v>222</v>
      </c>
      <c r="R15" s="23" t="s">
        <v>61</v>
      </c>
      <c r="S15" s="23" t="s">
        <v>166</v>
      </c>
      <c r="T15" s="23" t="s">
        <v>223</v>
      </c>
      <c r="U15" s="25">
        <v>0.556</v>
      </c>
      <c r="V15" s="19"/>
      <c r="W15" s="21" t="s">
        <v>51</v>
      </c>
      <c r="X15" s="21" t="s">
        <v>224</v>
      </c>
      <c r="Y15" s="26">
        <v>106.0</v>
      </c>
      <c r="Z15" s="26">
        <v>28.0</v>
      </c>
      <c r="AA15" s="26">
        <v>27.0</v>
      </c>
      <c r="AB15" s="26">
        <v>23.0</v>
      </c>
      <c r="AC15" s="26">
        <v>12.0</v>
      </c>
      <c r="AD15" s="26">
        <v>5.0</v>
      </c>
      <c r="AE15" s="27">
        <f t="shared" si="1"/>
        <v>0.2547169811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>
      <c r="A16" s="17" t="s">
        <v>225</v>
      </c>
      <c r="B16" s="18" t="s">
        <v>14</v>
      </c>
      <c r="C16" s="18">
        <v>7.0</v>
      </c>
      <c r="D16" s="18">
        <v>6.0</v>
      </c>
      <c r="E16" s="18">
        <v>1.0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9"/>
      <c r="W16" s="21">
        <v>2.0</v>
      </c>
      <c r="X16" s="21" t="s">
        <v>184</v>
      </c>
      <c r="Y16" s="26">
        <v>92.0</v>
      </c>
      <c r="Z16" s="26">
        <v>25.0</v>
      </c>
      <c r="AA16" s="26">
        <v>22.0</v>
      </c>
      <c r="AB16" s="26">
        <v>14.0</v>
      </c>
      <c r="AC16" s="26">
        <v>20.0</v>
      </c>
      <c r="AD16" s="26">
        <v>12.0</v>
      </c>
      <c r="AE16" s="27">
        <f t="shared" si="1"/>
        <v>0.2391304348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>
      <c r="A17" s="17" t="s">
        <v>226</v>
      </c>
      <c r="B17" s="18" t="s">
        <v>65</v>
      </c>
      <c r="C17" s="18">
        <v>1.0</v>
      </c>
      <c r="D17" s="18">
        <v>6.0</v>
      </c>
      <c r="E17" s="18">
        <v>-5.0</v>
      </c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9"/>
      <c r="W17" s="21">
        <v>10.0</v>
      </c>
      <c r="X17" s="22" t="s">
        <v>227</v>
      </c>
      <c r="Y17" s="26">
        <v>68.0</v>
      </c>
      <c r="Z17" s="26">
        <v>17.0</v>
      </c>
      <c r="AA17" s="26">
        <v>21.0</v>
      </c>
      <c r="AB17" s="26">
        <v>12.0</v>
      </c>
      <c r="AC17" s="26">
        <v>11.0</v>
      </c>
      <c r="AD17" s="26">
        <v>11.0</v>
      </c>
      <c r="AE17" s="27">
        <f t="shared" si="1"/>
        <v>0.3088235294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>
      <c r="A18" s="17" t="s">
        <v>228</v>
      </c>
      <c r="B18" s="18" t="s">
        <v>14</v>
      </c>
      <c r="C18" s="18">
        <v>8.0</v>
      </c>
      <c r="D18" s="18">
        <v>2.0</v>
      </c>
      <c r="E18" s="18">
        <v>6.0</v>
      </c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9"/>
      <c r="W18" s="21">
        <v>8.0</v>
      </c>
      <c r="X18" s="22" t="s">
        <v>82</v>
      </c>
      <c r="Y18" s="26">
        <v>108.0</v>
      </c>
      <c r="Z18" s="26">
        <v>18.0</v>
      </c>
      <c r="AA18" s="26">
        <v>22.0</v>
      </c>
      <c r="AB18" s="26">
        <v>29.0</v>
      </c>
      <c r="AC18" s="26">
        <v>8.0</v>
      </c>
      <c r="AD18" s="26">
        <v>12.0</v>
      </c>
      <c r="AE18" s="27">
        <f t="shared" si="1"/>
        <v>0.2037037037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>
      <c r="A19" s="17" t="s">
        <v>229</v>
      </c>
      <c r="B19" s="18" t="s">
        <v>65</v>
      </c>
      <c r="C19" s="18">
        <v>4.0</v>
      </c>
      <c r="D19" s="18">
        <v>9.0</v>
      </c>
      <c r="E19" s="18">
        <v>-5.0</v>
      </c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9"/>
      <c r="W19" s="21">
        <v>75.0</v>
      </c>
      <c r="X19" s="22" t="s">
        <v>217</v>
      </c>
      <c r="Y19" s="26">
        <v>75.0</v>
      </c>
      <c r="Z19" s="26">
        <v>15.0</v>
      </c>
      <c r="AA19" s="26">
        <v>17.0</v>
      </c>
      <c r="AB19" s="26">
        <v>14.0</v>
      </c>
      <c r="AC19" s="26">
        <v>17.0</v>
      </c>
      <c r="AD19" s="26">
        <v>21.0</v>
      </c>
      <c r="AE19" s="27">
        <f t="shared" si="1"/>
        <v>0.2266666667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>
      <c r="A20" s="17" t="s">
        <v>230</v>
      </c>
      <c r="B20" s="18" t="s">
        <v>14</v>
      </c>
      <c r="C20" s="18">
        <v>15.0</v>
      </c>
      <c r="D20" s="18">
        <v>2.0</v>
      </c>
      <c r="E20" s="18">
        <v>13.0</v>
      </c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5"/>
      <c r="W20" s="21" t="s">
        <v>68</v>
      </c>
      <c r="X20" s="21" t="s">
        <v>231</v>
      </c>
      <c r="Y20" s="26">
        <v>58.0</v>
      </c>
      <c r="Z20" s="26">
        <v>18.0</v>
      </c>
      <c r="AA20" s="26">
        <v>17.0</v>
      </c>
      <c r="AB20" s="26">
        <v>11.0</v>
      </c>
      <c r="AC20" s="26">
        <v>11.0</v>
      </c>
      <c r="AD20" s="26">
        <v>24.0</v>
      </c>
      <c r="AE20" s="27">
        <f t="shared" si="1"/>
        <v>0.2931034483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>
      <c r="A21" s="17" t="s">
        <v>232</v>
      </c>
      <c r="B21" s="18" t="s">
        <v>65</v>
      </c>
      <c r="C21" s="18">
        <v>2.0</v>
      </c>
      <c r="D21" s="18">
        <v>3.0</v>
      </c>
      <c r="E21" s="18">
        <v>-1.0</v>
      </c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5"/>
      <c r="W21" s="5"/>
      <c r="X21" s="5"/>
      <c r="Y21" s="21">
        <f>sum(Y10:Y20)</f>
        <v>1080</v>
      </c>
      <c r="Z21" s="5"/>
      <c r="AA21" s="21">
        <f>sum(AA10:AA20)</f>
        <v>336</v>
      </c>
      <c r="AB21" s="5"/>
      <c r="AC21" s="5"/>
      <c r="AD21" s="5"/>
      <c r="AE21" s="43">
        <f t="shared" si="1"/>
        <v>0.3111111111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>
      <c r="A22" s="17" t="s">
        <v>233</v>
      </c>
      <c r="B22" s="18" t="s">
        <v>14</v>
      </c>
      <c r="C22" s="18">
        <v>13.0</v>
      </c>
      <c r="D22" s="18">
        <v>3.0</v>
      </c>
      <c r="E22" s="18">
        <v>10.0</v>
      </c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5"/>
      <c r="W22" s="2"/>
      <c r="X22" s="2"/>
      <c r="Y22" s="5"/>
      <c r="Z22" s="5"/>
      <c r="AA22" s="5"/>
      <c r="AB22" s="5"/>
      <c r="AC22" s="5"/>
      <c r="AD22" s="5"/>
      <c r="AE22" s="44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>
      <c r="A23" s="17" t="s">
        <v>234</v>
      </c>
      <c r="B23" s="18" t="s">
        <v>14</v>
      </c>
      <c r="C23" s="18">
        <v>8.0</v>
      </c>
      <c r="D23" s="18">
        <v>6.0</v>
      </c>
      <c r="E23" s="18">
        <v>2.0</v>
      </c>
      <c r="F23" s="2"/>
      <c r="G23" s="2"/>
      <c r="H23" s="45" t="s">
        <v>235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46"/>
      <c r="X23" s="46"/>
      <c r="Y23" s="47"/>
      <c r="Z23" s="47"/>
      <c r="AA23" s="47"/>
      <c r="AB23" s="47"/>
      <c r="AC23" s="47"/>
      <c r="AD23" s="47"/>
      <c r="AE23" s="48"/>
      <c r="AF23" s="2"/>
      <c r="AG23" s="45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>
      <c r="A24" s="17" t="s">
        <v>236</v>
      </c>
      <c r="B24" s="18" t="s">
        <v>14</v>
      </c>
      <c r="C24" s="18">
        <v>4.0</v>
      </c>
      <c r="D24" s="18">
        <v>1.0</v>
      </c>
      <c r="E24" s="18">
        <v>3.0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46"/>
      <c r="X24" s="46"/>
      <c r="Y24" s="47"/>
      <c r="Z24" s="47"/>
      <c r="AA24" s="47"/>
      <c r="AB24" s="47"/>
      <c r="AC24" s="47"/>
      <c r="AD24" s="47"/>
      <c r="AE24" s="48"/>
      <c r="AF24" s="2"/>
      <c r="AG24" s="45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>
      <c r="A25" s="17" t="s">
        <v>237</v>
      </c>
      <c r="B25" s="18" t="s">
        <v>14</v>
      </c>
      <c r="C25" s="18">
        <v>7.0</v>
      </c>
      <c r="D25" s="18">
        <v>1.0</v>
      </c>
      <c r="E25" s="18">
        <v>6.0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>
      <c r="A26" s="17" t="s">
        <v>238</v>
      </c>
      <c r="B26" s="18" t="s">
        <v>14</v>
      </c>
      <c r="C26" s="18">
        <v>7.0</v>
      </c>
      <c r="D26" s="18">
        <v>3.0</v>
      </c>
      <c r="E26" s="18">
        <v>4.0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>
      <c r="A27" s="17" t="s">
        <v>239</v>
      </c>
      <c r="B27" s="18" t="s">
        <v>14</v>
      </c>
      <c r="C27" s="18">
        <v>11.0</v>
      </c>
      <c r="D27" s="18">
        <v>5.0</v>
      </c>
      <c r="E27" s="18">
        <v>6.0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>
      <c r="A28" s="17" t="s">
        <v>240</v>
      </c>
      <c r="B28" s="18" t="s">
        <v>14</v>
      </c>
      <c r="C28" s="18">
        <v>6.0</v>
      </c>
      <c r="D28" s="18">
        <v>5.0</v>
      </c>
      <c r="E28" s="18">
        <v>1.0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>
      <c r="A29" s="17" t="s">
        <v>241</v>
      </c>
      <c r="B29" s="18" t="s">
        <v>14</v>
      </c>
      <c r="C29" s="18">
        <v>5.0</v>
      </c>
      <c r="D29" s="18">
        <v>3.0</v>
      </c>
      <c r="E29" s="18">
        <v>2.0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>
      <c r="A30" s="17" t="s">
        <v>242</v>
      </c>
      <c r="B30" s="18" t="s">
        <v>14</v>
      </c>
      <c r="C30" s="18">
        <v>4.0</v>
      </c>
      <c r="D30" s="18">
        <v>3.0</v>
      </c>
      <c r="E30" s="18">
        <v>1.0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>
      <c r="A31" s="17" t="s">
        <v>243</v>
      </c>
      <c r="B31" s="18" t="s">
        <v>14</v>
      </c>
      <c r="C31" s="18">
        <v>10.0</v>
      </c>
      <c r="D31" s="18">
        <v>0.0</v>
      </c>
      <c r="E31" s="18">
        <v>10.0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>
      <c r="A32" s="17" t="s">
        <v>244</v>
      </c>
      <c r="B32" s="18" t="s">
        <v>14</v>
      </c>
      <c r="C32" s="18">
        <v>9.0</v>
      </c>
      <c r="D32" s="18">
        <v>2.0</v>
      </c>
      <c r="E32" s="18">
        <v>7.0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>
      <c r="A33" s="17" t="s">
        <v>245</v>
      </c>
      <c r="B33" s="18" t="s">
        <v>65</v>
      </c>
      <c r="C33" s="18">
        <v>0.0</v>
      </c>
      <c r="D33" s="18">
        <v>3.0</v>
      </c>
      <c r="E33" s="18">
        <v>-3.0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>
      <c r="A34" s="17" t="s">
        <v>246</v>
      </c>
      <c r="B34" s="18" t="s">
        <v>65</v>
      </c>
      <c r="C34" s="18">
        <v>1.0</v>
      </c>
      <c r="D34" s="18">
        <v>2.0</v>
      </c>
      <c r="E34" s="18">
        <v>-1.0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>
      <c r="A35" s="17" t="s">
        <v>247</v>
      </c>
      <c r="B35" s="18" t="s">
        <v>14</v>
      </c>
      <c r="C35" s="18">
        <v>4.0</v>
      </c>
      <c r="D35" s="18">
        <v>2.0</v>
      </c>
      <c r="E35" s="18">
        <v>2.0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>
      <c r="A36" s="17" t="s">
        <v>248</v>
      </c>
      <c r="B36" s="18" t="s">
        <v>14</v>
      </c>
      <c r="C36" s="18">
        <v>5.0</v>
      </c>
      <c r="D36" s="18">
        <v>0.0</v>
      </c>
      <c r="E36" s="18">
        <v>5.0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>
      <c r="A37" s="17" t="s">
        <v>249</v>
      </c>
      <c r="B37" s="18" t="s">
        <v>65</v>
      </c>
      <c r="C37" s="18">
        <v>1.0</v>
      </c>
      <c r="D37" s="18">
        <v>9.0</v>
      </c>
      <c r="E37" s="18">
        <v>-8.0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>
      <c r="A38" s="17" t="s">
        <v>250</v>
      </c>
      <c r="B38" s="18" t="s">
        <v>14</v>
      </c>
      <c r="C38" s="18">
        <v>14.0</v>
      </c>
      <c r="D38" s="18">
        <v>0.0</v>
      </c>
      <c r="E38" s="18">
        <v>14.0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>
      <c r="A39" s="17" t="s">
        <v>251</v>
      </c>
      <c r="B39" s="18" t="s">
        <v>14</v>
      </c>
      <c r="C39" s="18">
        <v>15.0</v>
      </c>
      <c r="D39" s="18">
        <v>6.0</v>
      </c>
      <c r="E39" s="18">
        <v>9.0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>
      <c r="A40" s="17" t="s">
        <v>252</v>
      </c>
      <c r="B40" s="18" t="s">
        <v>65</v>
      </c>
      <c r="C40" s="18">
        <v>2.0</v>
      </c>
      <c r="D40" s="18">
        <v>10.0</v>
      </c>
      <c r="E40" s="18">
        <v>-8.0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>
      <c r="A41" s="17" t="s">
        <v>253</v>
      </c>
      <c r="B41" s="18" t="s">
        <v>14</v>
      </c>
      <c r="C41" s="18">
        <v>14.0</v>
      </c>
      <c r="D41" s="18">
        <v>4.0</v>
      </c>
      <c r="E41" s="18">
        <v>10.0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>
      <c r="A42" s="17" t="s">
        <v>254</v>
      </c>
      <c r="B42" s="18" t="s">
        <v>65</v>
      </c>
      <c r="C42" s="18">
        <v>2.0</v>
      </c>
      <c r="D42" s="18">
        <v>9.0</v>
      </c>
      <c r="E42" s="18">
        <v>-7.0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>
      <c r="A43" s="17" t="s">
        <v>255</v>
      </c>
      <c r="B43" s="18" t="s">
        <v>14</v>
      </c>
      <c r="C43" s="18">
        <v>8.0</v>
      </c>
      <c r="D43" s="18">
        <v>2.0</v>
      </c>
      <c r="E43" s="18">
        <v>6.0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>
      <c r="A44" s="17" t="s">
        <v>256</v>
      </c>
      <c r="B44" s="18" t="s">
        <v>65</v>
      </c>
      <c r="C44" s="18">
        <v>3.0</v>
      </c>
      <c r="D44" s="18">
        <v>5.0</v>
      </c>
      <c r="E44" s="18">
        <v>-2.0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>
      <c r="A45" s="17" t="s">
        <v>257</v>
      </c>
      <c r="B45" s="18" t="s">
        <v>14</v>
      </c>
      <c r="C45" s="18">
        <v>3.0</v>
      </c>
      <c r="D45" s="18">
        <v>2.0</v>
      </c>
      <c r="E45" s="18">
        <v>1.0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>
      <c r="A46" s="17" t="s">
        <v>258</v>
      </c>
      <c r="B46" s="18" t="s">
        <v>65</v>
      </c>
      <c r="C46" s="18">
        <v>0.0</v>
      </c>
      <c r="D46" s="18">
        <v>3.0</v>
      </c>
      <c r="E46" s="18">
        <v>-3.0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>
      <c r="A47" s="17" t="s">
        <v>259</v>
      </c>
      <c r="B47" s="18" t="s">
        <v>14</v>
      </c>
      <c r="C47" s="18">
        <v>13.0</v>
      </c>
      <c r="D47" s="18">
        <v>0.0</v>
      </c>
      <c r="E47" s="18">
        <v>13.0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>
      <c r="A48" s="17" t="s">
        <v>260</v>
      </c>
      <c r="B48" s="18" t="s">
        <v>14</v>
      </c>
      <c r="C48" s="18">
        <v>9.0</v>
      </c>
      <c r="D48" s="18">
        <v>1.0</v>
      </c>
      <c r="E48" s="18">
        <v>8.0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>
      <c r="A49" s="17" t="s">
        <v>261</v>
      </c>
      <c r="B49" s="18" t="s">
        <v>14</v>
      </c>
      <c r="C49" s="18">
        <v>10.0</v>
      </c>
      <c r="D49" s="18">
        <v>0.0</v>
      </c>
      <c r="E49" s="18">
        <v>10.0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>
      <c r="A50" s="17" t="s">
        <v>262</v>
      </c>
      <c r="B50" s="18" t="s">
        <v>14</v>
      </c>
      <c r="C50" s="18">
        <v>11.0</v>
      </c>
      <c r="D50" s="18">
        <v>0.0</v>
      </c>
      <c r="E50" s="18">
        <v>11.0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>
      <c r="A51" s="28" t="s">
        <v>263</v>
      </c>
      <c r="B51" s="26" t="s">
        <v>65</v>
      </c>
      <c r="C51" s="26">
        <v>1.0</v>
      </c>
      <c r="D51" s="26">
        <v>4.0</v>
      </c>
      <c r="E51" s="26">
        <v>-3.0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>
      <c r="A52" s="28" t="s">
        <v>264</v>
      </c>
      <c r="B52" s="26" t="s">
        <v>14</v>
      </c>
      <c r="C52" s="26">
        <v>9.0</v>
      </c>
      <c r="D52" s="26">
        <v>4.0</v>
      </c>
      <c r="E52" s="26">
        <v>5.0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>
      <c r="A53" s="28" t="s">
        <v>264</v>
      </c>
      <c r="B53" s="26" t="s">
        <v>14</v>
      </c>
      <c r="C53" s="26">
        <v>3.0</v>
      </c>
      <c r="D53" s="26">
        <v>0.0</v>
      </c>
      <c r="E53" s="26">
        <v>3.0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>
      <c r="A54" s="28" t="s">
        <v>265</v>
      </c>
      <c r="B54" s="26" t="s">
        <v>14</v>
      </c>
      <c r="C54" s="26">
        <v>9.0</v>
      </c>
      <c r="D54" s="26">
        <v>0.0</v>
      </c>
      <c r="E54" s="26">
        <v>9.0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>
      <c r="A55" s="28" t="s">
        <v>266</v>
      </c>
      <c r="B55" s="26" t="s">
        <v>14</v>
      </c>
      <c r="C55" s="26">
        <v>6.0</v>
      </c>
      <c r="D55" s="26">
        <v>1.0</v>
      </c>
      <c r="E55" s="26">
        <v>5.0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>
      <c r="A56" s="28" t="s">
        <v>267</v>
      </c>
      <c r="B56" s="26" t="s">
        <v>14</v>
      </c>
      <c r="C56" s="26">
        <v>16.0</v>
      </c>
      <c r="D56" s="26">
        <v>0.0</v>
      </c>
      <c r="E56" s="26">
        <v>16.0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>
      <c r="A57" s="28" t="s">
        <v>268</v>
      </c>
      <c r="B57" s="26" t="s">
        <v>14</v>
      </c>
      <c r="C57" s="26">
        <v>2.0</v>
      </c>
      <c r="D57" s="26">
        <v>1.0</v>
      </c>
      <c r="E57" s="26">
        <v>1.0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>
      <c r="A58" s="28" t="s">
        <v>269</v>
      </c>
      <c r="B58" s="26" t="s">
        <v>14</v>
      </c>
      <c r="C58" s="26">
        <v>10.0</v>
      </c>
      <c r="D58" s="26">
        <v>0.0</v>
      </c>
      <c r="E58" s="26">
        <v>10.0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>
      <c r="A59" s="28" t="s">
        <v>270</v>
      </c>
      <c r="B59" s="26" t="s">
        <v>65</v>
      </c>
      <c r="C59" s="26">
        <v>3.0</v>
      </c>
      <c r="D59" s="26">
        <v>5.0</v>
      </c>
      <c r="E59" s="26">
        <v>-2.0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>
      <c r="A60" s="49" t="s">
        <v>271</v>
      </c>
      <c r="B60" s="50" t="s">
        <v>65</v>
      </c>
      <c r="C60" s="50">
        <v>2.0</v>
      </c>
      <c r="D60" s="50">
        <v>8.0</v>
      </c>
      <c r="E60" s="50">
        <v>-6.0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>
      <c r="A61" s="32" t="s">
        <v>149</v>
      </c>
      <c r="B61" s="51"/>
      <c r="C61" s="52">
        <v>335.0</v>
      </c>
      <c r="D61" s="52">
        <v>164.0</v>
      </c>
      <c r="E61" s="52">
        <v>171.0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>
      <c r="A63" s="39" t="s">
        <v>272</v>
      </c>
      <c r="B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1.5" customHeight="1">
      <c r="A64" s="54"/>
      <c r="B64" s="54"/>
      <c r="C64" s="54"/>
      <c r="D64" s="54"/>
      <c r="E64" s="54"/>
      <c r="F64" s="2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2"/>
      <c r="W64" s="54"/>
      <c r="X64" s="54"/>
      <c r="Y64" s="54"/>
      <c r="Z64" s="54"/>
      <c r="AA64" s="54"/>
      <c r="AB64" s="54"/>
      <c r="AC64" s="54"/>
      <c r="AD64" s="54"/>
      <c r="AE64" s="54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>
      <c r="A65" s="32" t="s">
        <v>273</v>
      </c>
      <c r="B65" s="34" t="s">
        <v>7</v>
      </c>
      <c r="C65" s="34" t="s">
        <v>8</v>
      </c>
      <c r="D65" s="34" t="s">
        <v>9</v>
      </c>
      <c r="E65" s="34" t="s">
        <v>10</v>
      </c>
      <c r="F65" s="19"/>
      <c r="G65" s="55" t="s">
        <v>274</v>
      </c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7"/>
      <c r="V65" s="19"/>
      <c r="W65" s="55" t="s">
        <v>275</v>
      </c>
      <c r="X65" s="56"/>
      <c r="Y65" s="56"/>
      <c r="Z65" s="56"/>
      <c r="AA65" s="56"/>
      <c r="AB65" s="56"/>
      <c r="AC65" s="56"/>
      <c r="AD65" s="56"/>
      <c r="AE65" s="57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>
      <c r="A66" s="17" t="s">
        <v>276</v>
      </c>
      <c r="B66" s="18" t="s">
        <v>14</v>
      </c>
      <c r="C66" s="18">
        <v>15.0</v>
      </c>
      <c r="D66" s="18">
        <v>1.0</v>
      </c>
      <c r="E66" s="18">
        <v>14.0</v>
      </c>
      <c r="F66" s="19"/>
      <c r="G66" s="20" t="s">
        <v>15</v>
      </c>
      <c r="H66" s="20" t="s">
        <v>159</v>
      </c>
      <c r="I66" s="20" t="s">
        <v>17</v>
      </c>
      <c r="J66" s="20" t="s">
        <v>18</v>
      </c>
      <c r="K66" s="20" t="s">
        <v>19</v>
      </c>
      <c r="L66" s="20" t="s">
        <v>21</v>
      </c>
      <c r="M66" s="20" t="s">
        <v>22</v>
      </c>
      <c r="N66" s="20" t="s">
        <v>34</v>
      </c>
      <c r="O66" s="20" t="s">
        <v>160</v>
      </c>
      <c r="P66" s="20" t="s">
        <v>25</v>
      </c>
      <c r="Q66" s="20" t="s">
        <v>26</v>
      </c>
      <c r="R66" s="20" t="s">
        <v>28</v>
      </c>
      <c r="S66" s="20" t="s">
        <v>29</v>
      </c>
      <c r="T66" s="20" t="s">
        <v>30</v>
      </c>
      <c r="U66" s="20" t="s">
        <v>31</v>
      </c>
      <c r="V66" s="19"/>
      <c r="W66" s="20" t="s">
        <v>15</v>
      </c>
      <c r="X66" s="20" t="s">
        <v>159</v>
      </c>
      <c r="Y66" s="20" t="s">
        <v>32</v>
      </c>
      <c r="Z66" s="20" t="s">
        <v>21</v>
      </c>
      <c r="AA66" s="20" t="s">
        <v>19</v>
      </c>
      <c r="AB66" s="20" t="s">
        <v>33</v>
      </c>
      <c r="AC66" s="20" t="s">
        <v>25</v>
      </c>
      <c r="AD66" s="20" t="s">
        <v>34</v>
      </c>
      <c r="AE66" s="20" t="s">
        <v>35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>
      <c r="A67" s="17" t="s">
        <v>277</v>
      </c>
      <c r="B67" s="18" t="s">
        <v>14</v>
      </c>
      <c r="C67" s="18">
        <v>11.0</v>
      </c>
      <c r="D67" s="18">
        <v>0.0</v>
      </c>
      <c r="E67" s="18">
        <v>11.0</v>
      </c>
      <c r="F67" s="19"/>
      <c r="G67" s="21">
        <v>2.0</v>
      </c>
      <c r="H67" s="21" t="s">
        <v>184</v>
      </c>
      <c r="I67" s="23" t="s">
        <v>212</v>
      </c>
      <c r="J67" s="23" t="s">
        <v>278</v>
      </c>
      <c r="K67" s="23" t="s">
        <v>279</v>
      </c>
      <c r="L67" s="23" t="s">
        <v>188</v>
      </c>
      <c r="M67" s="23" t="s">
        <v>280</v>
      </c>
      <c r="N67" s="23" t="s">
        <v>281</v>
      </c>
      <c r="O67" s="23" t="s">
        <v>75</v>
      </c>
      <c r="P67" s="23" t="s">
        <v>162</v>
      </c>
      <c r="Q67" s="23" t="s">
        <v>190</v>
      </c>
      <c r="R67" s="23" t="s">
        <v>61</v>
      </c>
      <c r="S67" s="23" t="s">
        <v>282</v>
      </c>
      <c r="T67" s="23" t="s">
        <v>283</v>
      </c>
      <c r="U67" s="25">
        <v>0.577</v>
      </c>
      <c r="V67" s="19"/>
      <c r="W67" s="21">
        <v>1.0</v>
      </c>
      <c r="X67" s="22" t="s">
        <v>98</v>
      </c>
      <c r="Y67" s="21" t="s">
        <v>284</v>
      </c>
      <c r="Z67" s="21" t="s">
        <v>42</v>
      </c>
      <c r="AA67" s="21" t="s">
        <v>197</v>
      </c>
      <c r="AB67" s="21" t="s">
        <v>87</v>
      </c>
      <c r="AC67" s="21" t="s">
        <v>91</v>
      </c>
      <c r="AD67" s="21" t="s">
        <v>48</v>
      </c>
      <c r="AE67" s="27">
        <f t="shared" ref="AE67:AE78" si="2">divide(AA67,Y67)</f>
        <v>0.5454545455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>
      <c r="A68" s="17" t="s">
        <v>285</v>
      </c>
      <c r="B68" s="18" t="s">
        <v>65</v>
      </c>
      <c r="C68" s="18">
        <v>6.0</v>
      </c>
      <c r="D68" s="18">
        <v>7.0</v>
      </c>
      <c r="E68" s="18">
        <v>-1.0</v>
      </c>
      <c r="F68" s="19"/>
      <c r="G68" s="21">
        <v>20.0</v>
      </c>
      <c r="H68" s="22" t="s">
        <v>37</v>
      </c>
      <c r="I68" s="23" t="s">
        <v>286</v>
      </c>
      <c r="J68" s="23" t="s">
        <v>287</v>
      </c>
      <c r="K68" s="23" t="s">
        <v>194</v>
      </c>
      <c r="L68" s="23" t="s">
        <v>208</v>
      </c>
      <c r="M68" s="23" t="s">
        <v>288</v>
      </c>
      <c r="N68" s="23" t="s">
        <v>289</v>
      </c>
      <c r="O68" s="23" t="s">
        <v>220</v>
      </c>
      <c r="P68" s="23" t="s">
        <v>208</v>
      </c>
      <c r="Q68" s="23" t="s">
        <v>288</v>
      </c>
      <c r="R68" s="23" t="s">
        <v>219</v>
      </c>
      <c r="S68" s="23" t="s">
        <v>290</v>
      </c>
      <c r="T68" s="23" t="s">
        <v>291</v>
      </c>
      <c r="U68" s="25">
        <v>0.531</v>
      </c>
      <c r="V68" s="19"/>
      <c r="W68" s="21" t="s">
        <v>204</v>
      </c>
      <c r="X68" s="21" t="s">
        <v>205</v>
      </c>
      <c r="Y68" s="21" t="s">
        <v>188</v>
      </c>
      <c r="Z68" s="21" t="s">
        <v>194</v>
      </c>
      <c r="AA68" s="21" t="s">
        <v>292</v>
      </c>
      <c r="AB68" s="21" t="s">
        <v>162</v>
      </c>
      <c r="AC68" s="21" t="s">
        <v>173</v>
      </c>
      <c r="AD68" s="21" t="s">
        <v>38</v>
      </c>
      <c r="AE68" s="27">
        <f t="shared" si="2"/>
        <v>0.3636363636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>
      <c r="A69" s="17" t="s">
        <v>293</v>
      </c>
      <c r="B69" s="18" t="s">
        <v>14</v>
      </c>
      <c r="C69" s="18">
        <v>7.0</v>
      </c>
      <c r="D69" s="18">
        <v>4.0</v>
      </c>
      <c r="E69" s="18">
        <v>3.0</v>
      </c>
      <c r="F69" s="19"/>
      <c r="G69" s="21">
        <v>1.0</v>
      </c>
      <c r="H69" s="22" t="s">
        <v>98</v>
      </c>
      <c r="I69" s="23" t="s">
        <v>204</v>
      </c>
      <c r="J69" s="23" t="s">
        <v>294</v>
      </c>
      <c r="K69" s="23" t="s">
        <v>208</v>
      </c>
      <c r="L69" s="23" t="s">
        <v>87</v>
      </c>
      <c r="M69" s="23" t="s">
        <v>86</v>
      </c>
      <c r="N69" s="23" t="s">
        <v>72</v>
      </c>
      <c r="O69" s="23" t="s">
        <v>295</v>
      </c>
      <c r="P69" s="23" t="s">
        <v>296</v>
      </c>
      <c r="Q69" s="23" t="s">
        <v>179</v>
      </c>
      <c r="R69" s="23" t="s">
        <v>105</v>
      </c>
      <c r="S69" s="23" t="s">
        <v>297</v>
      </c>
      <c r="T69" s="23" t="s">
        <v>298</v>
      </c>
      <c r="U69" s="25">
        <v>0.63</v>
      </c>
      <c r="V69" s="19"/>
      <c r="W69" s="21">
        <v>32.0</v>
      </c>
      <c r="X69" s="22" t="s">
        <v>215</v>
      </c>
      <c r="Y69" s="21" t="s">
        <v>299</v>
      </c>
      <c r="Z69" s="21" t="s">
        <v>292</v>
      </c>
      <c r="AA69" s="21" t="s">
        <v>194</v>
      </c>
      <c r="AB69" s="21" t="s">
        <v>300</v>
      </c>
      <c r="AC69" s="21" t="s">
        <v>55</v>
      </c>
      <c r="AD69" s="21" t="s">
        <v>93</v>
      </c>
      <c r="AE69" s="27">
        <f t="shared" si="2"/>
        <v>0.380952381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>
      <c r="A70" s="17" t="s">
        <v>301</v>
      </c>
      <c r="B70" s="18" t="s">
        <v>14</v>
      </c>
      <c r="C70" s="18">
        <v>12.0</v>
      </c>
      <c r="D70" s="18">
        <v>2.0</v>
      </c>
      <c r="E70" s="18">
        <v>10.0</v>
      </c>
      <c r="F70" s="19"/>
      <c r="G70" s="21" t="s">
        <v>66</v>
      </c>
      <c r="H70" s="21" t="s">
        <v>67</v>
      </c>
      <c r="I70" s="23" t="s">
        <v>296</v>
      </c>
      <c r="J70" s="23" t="s">
        <v>302</v>
      </c>
      <c r="K70" s="23" t="s">
        <v>68</v>
      </c>
      <c r="L70" s="23" t="s">
        <v>55</v>
      </c>
      <c r="M70" s="23" t="s">
        <v>190</v>
      </c>
      <c r="N70" s="23" t="s">
        <v>72</v>
      </c>
      <c r="O70" s="23" t="s">
        <v>303</v>
      </c>
      <c r="P70" s="23" t="s">
        <v>38</v>
      </c>
      <c r="Q70" s="23" t="s">
        <v>47</v>
      </c>
      <c r="R70" s="23" t="s">
        <v>91</v>
      </c>
      <c r="S70" s="23" t="s">
        <v>304</v>
      </c>
      <c r="T70" s="23" t="s">
        <v>298</v>
      </c>
      <c r="U70" s="25">
        <v>0.57</v>
      </c>
      <c r="V70" s="19"/>
      <c r="W70" s="21">
        <v>2.0</v>
      </c>
      <c r="X70" s="21" t="s">
        <v>184</v>
      </c>
      <c r="Y70" s="21" t="s">
        <v>305</v>
      </c>
      <c r="Z70" s="21" t="s">
        <v>162</v>
      </c>
      <c r="AA70" s="21" t="s">
        <v>306</v>
      </c>
      <c r="AB70" s="21" t="s">
        <v>212</v>
      </c>
      <c r="AC70" s="21" t="s">
        <v>68</v>
      </c>
      <c r="AD70" s="21" t="s">
        <v>59</v>
      </c>
      <c r="AE70" s="27">
        <f t="shared" si="2"/>
        <v>0.4375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>
      <c r="A71" s="17" t="s">
        <v>307</v>
      </c>
      <c r="B71" s="18" t="s">
        <v>14</v>
      </c>
      <c r="C71" s="18">
        <v>19.0</v>
      </c>
      <c r="D71" s="18">
        <v>1.0</v>
      </c>
      <c r="E71" s="18">
        <v>18.0</v>
      </c>
      <c r="F71" s="5"/>
      <c r="G71" s="21">
        <v>8.0</v>
      </c>
      <c r="H71" s="22" t="s">
        <v>82</v>
      </c>
      <c r="I71" s="23" t="s">
        <v>99</v>
      </c>
      <c r="J71" s="23" t="s">
        <v>308</v>
      </c>
      <c r="K71" s="23" t="s">
        <v>292</v>
      </c>
      <c r="L71" s="23" t="s">
        <v>83</v>
      </c>
      <c r="M71" s="23" t="s">
        <v>309</v>
      </c>
      <c r="N71" s="23" t="s">
        <v>68</v>
      </c>
      <c r="O71" s="23" t="s">
        <v>310</v>
      </c>
      <c r="P71" s="23" t="s">
        <v>219</v>
      </c>
      <c r="Q71" s="23" t="s">
        <v>311</v>
      </c>
      <c r="R71" s="23" t="s">
        <v>48</v>
      </c>
      <c r="S71" s="23" t="s">
        <v>312</v>
      </c>
      <c r="T71" s="23" t="s">
        <v>313</v>
      </c>
      <c r="U71" s="25">
        <v>0.648</v>
      </c>
      <c r="V71" s="19"/>
      <c r="W71" s="21" t="s">
        <v>66</v>
      </c>
      <c r="X71" s="21" t="s">
        <v>67</v>
      </c>
      <c r="Y71" s="21" t="s">
        <v>199</v>
      </c>
      <c r="Z71" s="21" t="s">
        <v>55</v>
      </c>
      <c r="AA71" s="21" t="s">
        <v>55</v>
      </c>
      <c r="AB71" s="21" t="s">
        <v>55</v>
      </c>
      <c r="AC71" s="21" t="s">
        <v>296</v>
      </c>
      <c r="AD71" s="21" t="s">
        <v>286</v>
      </c>
      <c r="AE71" s="27">
        <f t="shared" si="2"/>
        <v>0.2711864407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>
      <c r="A72" s="17" t="s">
        <v>314</v>
      </c>
      <c r="B72" s="18" t="s">
        <v>65</v>
      </c>
      <c r="C72" s="18">
        <v>2.0</v>
      </c>
      <c r="D72" s="18">
        <v>7.0</v>
      </c>
      <c r="E72" s="18">
        <v>-5.0</v>
      </c>
      <c r="F72" s="5"/>
      <c r="G72" s="21">
        <v>75.0</v>
      </c>
      <c r="H72" s="22" t="s">
        <v>217</v>
      </c>
      <c r="I72" s="23" t="s">
        <v>103</v>
      </c>
      <c r="J72" s="23" t="s">
        <v>315</v>
      </c>
      <c r="K72" s="23" t="s">
        <v>103</v>
      </c>
      <c r="L72" s="23" t="s">
        <v>93</v>
      </c>
      <c r="M72" s="23" t="s">
        <v>316</v>
      </c>
      <c r="N72" s="23" t="s">
        <v>296</v>
      </c>
      <c r="O72" s="23" t="s">
        <v>317</v>
      </c>
      <c r="P72" s="23" t="s">
        <v>91</v>
      </c>
      <c r="Q72" s="23" t="s">
        <v>318</v>
      </c>
      <c r="R72" s="23" t="s">
        <v>61</v>
      </c>
      <c r="S72" s="23" t="s">
        <v>319</v>
      </c>
      <c r="T72" s="23" t="s">
        <v>284</v>
      </c>
      <c r="U72" s="25">
        <v>0.559</v>
      </c>
      <c r="V72" s="19"/>
      <c r="W72" s="21">
        <v>20.0</v>
      </c>
      <c r="X72" s="22" t="s">
        <v>37</v>
      </c>
      <c r="Y72" s="21" t="s">
        <v>305</v>
      </c>
      <c r="Z72" s="21" t="s">
        <v>68</v>
      </c>
      <c r="AA72" s="21" t="s">
        <v>162</v>
      </c>
      <c r="AB72" s="21" t="s">
        <v>55</v>
      </c>
      <c r="AC72" s="21" t="s">
        <v>219</v>
      </c>
      <c r="AD72" s="21" t="s">
        <v>212</v>
      </c>
      <c r="AE72" s="27">
        <f t="shared" si="2"/>
        <v>0.34375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>
      <c r="A73" s="17" t="s">
        <v>320</v>
      </c>
      <c r="B73" s="18" t="s">
        <v>65</v>
      </c>
      <c r="C73" s="18">
        <v>2.0</v>
      </c>
      <c r="D73" s="18">
        <v>6.0</v>
      </c>
      <c r="E73" s="18">
        <v>-4.0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19"/>
      <c r="W73" s="21">
        <v>8.0</v>
      </c>
      <c r="X73" s="22" t="s">
        <v>82</v>
      </c>
      <c r="Y73" s="21" t="s">
        <v>299</v>
      </c>
      <c r="Z73" s="21" t="s">
        <v>59</v>
      </c>
      <c r="AA73" s="21" t="s">
        <v>87</v>
      </c>
      <c r="AB73" s="21" t="s">
        <v>83</v>
      </c>
      <c r="AC73" s="21" t="s">
        <v>219</v>
      </c>
      <c r="AD73" s="21" t="s">
        <v>286</v>
      </c>
      <c r="AE73" s="27">
        <f t="shared" si="2"/>
        <v>0.3015873016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>
      <c r="A74" s="17" t="s">
        <v>321</v>
      </c>
      <c r="B74" s="18" t="s">
        <v>14</v>
      </c>
      <c r="C74" s="18">
        <v>15.0</v>
      </c>
      <c r="D74" s="18">
        <v>0.0</v>
      </c>
      <c r="E74" s="18">
        <v>15.0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19"/>
      <c r="W74" s="21">
        <v>10.0</v>
      </c>
      <c r="X74" s="22" t="s">
        <v>227</v>
      </c>
      <c r="Y74" s="21" t="s">
        <v>74</v>
      </c>
      <c r="Z74" s="21" t="s">
        <v>38</v>
      </c>
      <c r="AA74" s="21" t="s">
        <v>296</v>
      </c>
      <c r="AB74" s="21" t="s">
        <v>99</v>
      </c>
      <c r="AC74" s="21" t="s">
        <v>68</v>
      </c>
      <c r="AD74" s="21" t="s">
        <v>296</v>
      </c>
      <c r="AE74" s="27">
        <f t="shared" si="2"/>
        <v>0.2444444444</v>
      </c>
      <c r="AF74" s="5"/>
      <c r="AI74" s="5"/>
      <c r="AJ74" s="5"/>
      <c r="AK74" s="5"/>
      <c r="AL74" s="5"/>
      <c r="AM74" s="5"/>
      <c r="AN74" s="5"/>
      <c r="AO74" s="5"/>
      <c r="AP74" s="5"/>
      <c r="AQ74" s="5"/>
    </row>
    <row r="75">
      <c r="A75" s="17" t="s">
        <v>322</v>
      </c>
      <c r="B75" s="18" t="s">
        <v>65</v>
      </c>
      <c r="C75" s="18">
        <v>2.0</v>
      </c>
      <c r="D75" s="18">
        <v>13.0</v>
      </c>
      <c r="E75" s="18">
        <v>-11.0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9"/>
      <c r="W75" s="21" t="s">
        <v>51</v>
      </c>
      <c r="X75" s="21" t="s">
        <v>224</v>
      </c>
      <c r="Y75" s="21" t="s">
        <v>323</v>
      </c>
      <c r="Z75" s="21" t="s">
        <v>306</v>
      </c>
      <c r="AA75" s="21" t="s">
        <v>173</v>
      </c>
      <c r="AB75" s="21" t="s">
        <v>204</v>
      </c>
      <c r="AC75" s="21" t="s">
        <v>286</v>
      </c>
      <c r="AD75" s="21" t="s">
        <v>91</v>
      </c>
      <c r="AE75" s="27">
        <f t="shared" si="2"/>
        <v>0.3888888889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>
      <c r="A76" s="17" t="s">
        <v>324</v>
      </c>
      <c r="B76" s="18" t="s">
        <v>14</v>
      </c>
      <c r="C76" s="18">
        <v>2.0</v>
      </c>
      <c r="D76" s="18">
        <v>0.0</v>
      </c>
      <c r="E76" s="18">
        <v>2.0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9"/>
      <c r="W76" s="21">
        <v>75.0</v>
      </c>
      <c r="X76" s="22" t="s">
        <v>217</v>
      </c>
      <c r="Y76" s="21" t="s">
        <v>323</v>
      </c>
      <c r="Z76" s="21" t="s">
        <v>87</v>
      </c>
      <c r="AA76" s="21" t="s">
        <v>300</v>
      </c>
      <c r="AB76" s="21" t="s">
        <v>55</v>
      </c>
      <c r="AC76" s="21" t="s">
        <v>99</v>
      </c>
      <c r="AD76" s="21" t="s">
        <v>59</v>
      </c>
      <c r="AE76" s="27">
        <f t="shared" si="2"/>
        <v>0.3333333333</v>
      </c>
      <c r="AF76" s="5"/>
    </row>
    <row r="77">
      <c r="A77" s="17" t="s">
        <v>325</v>
      </c>
      <c r="B77" s="18" t="s">
        <v>65</v>
      </c>
      <c r="C77" s="18">
        <v>1.0</v>
      </c>
      <c r="D77" s="18">
        <v>7.0</v>
      </c>
      <c r="E77" s="18">
        <v>-6.0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9"/>
      <c r="W77" s="58"/>
      <c r="X77" s="21" t="s">
        <v>326</v>
      </c>
      <c r="Y77" s="21" t="s">
        <v>48</v>
      </c>
      <c r="Z77" s="21" t="s">
        <v>61</v>
      </c>
      <c r="AA77" s="21" t="s">
        <v>105</v>
      </c>
      <c r="AB77" s="21" t="s">
        <v>105</v>
      </c>
      <c r="AC77" s="21" t="s">
        <v>105</v>
      </c>
      <c r="AD77" s="21" t="s">
        <v>48</v>
      </c>
      <c r="AE77" s="27">
        <f t="shared" si="2"/>
        <v>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>
      <c r="A78" s="17" t="s">
        <v>327</v>
      </c>
      <c r="B78" s="18" t="s">
        <v>14</v>
      </c>
      <c r="C78" s="18">
        <v>6.0</v>
      </c>
      <c r="D78" s="18">
        <v>1.0</v>
      </c>
      <c r="E78" s="18">
        <v>5.0</v>
      </c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5"/>
      <c r="W78" s="58"/>
      <c r="X78" s="21" t="s">
        <v>328</v>
      </c>
      <c r="Y78" s="21" t="s">
        <v>48</v>
      </c>
      <c r="Z78" s="21" t="s">
        <v>105</v>
      </c>
      <c r="AA78" s="21" t="s">
        <v>61</v>
      </c>
      <c r="AB78" s="21" t="s">
        <v>105</v>
      </c>
      <c r="AC78" s="21" t="s">
        <v>105</v>
      </c>
      <c r="AD78" s="21" t="s">
        <v>61</v>
      </c>
      <c r="AE78" s="27">
        <f t="shared" si="2"/>
        <v>0.5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>
      <c r="A79" s="17" t="s">
        <v>329</v>
      </c>
      <c r="B79" s="18" t="s">
        <v>14</v>
      </c>
      <c r="C79" s="18">
        <v>9.0</v>
      </c>
      <c r="D79" s="18">
        <v>2.0</v>
      </c>
      <c r="E79" s="18">
        <v>7.0</v>
      </c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5"/>
      <c r="W79" s="5"/>
      <c r="X79" s="5"/>
      <c r="Y79" s="5"/>
      <c r="Z79" s="5"/>
      <c r="AA79" s="5"/>
      <c r="AB79" s="5"/>
      <c r="AC79" s="5"/>
      <c r="AD79" s="5"/>
      <c r="AE79" s="43">
        <v>0.361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>
      <c r="A80" s="17" t="s">
        <v>330</v>
      </c>
      <c r="B80" s="18" t="s">
        <v>14</v>
      </c>
      <c r="C80" s="18">
        <v>5.0</v>
      </c>
      <c r="D80" s="18">
        <v>4.0</v>
      </c>
      <c r="E80" s="18">
        <v>1.0</v>
      </c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>
      <c r="A81" s="17" t="s">
        <v>331</v>
      </c>
      <c r="B81" s="18" t="s">
        <v>14</v>
      </c>
      <c r="C81" s="18">
        <v>9.0</v>
      </c>
      <c r="D81" s="18">
        <v>4.0</v>
      </c>
      <c r="E81" s="18">
        <v>5.0</v>
      </c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>
      <c r="A82" s="17" t="s">
        <v>332</v>
      </c>
      <c r="B82" s="18" t="s">
        <v>65</v>
      </c>
      <c r="C82" s="18">
        <v>0.0</v>
      </c>
      <c r="D82" s="18">
        <v>13.0</v>
      </c>
      <c r="E82" s="18">
        <v>-13.0</v>
      </c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>
      <c r="A83" s="17" t="s">
        <v>333</v>
      </c>
      <c r="B83" s="18" t="s">
        <v>14</v>
      </c>
      <c r="C83" s="18">
        <v>8.0</v>
      </c>
      <c r="D83" s="18">
        <v>1.0</v>
      </c>
      <c r="E83" s="18">
        <v>7.0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>
      <c r="A84" s="28" t="s">
        <v>334</v>
      </c>
      <c r="B84" s="26" t="s">
        <v>65</v>
      </c>
      <c r="C84" s="26">
        <v>4.0</v>
      </c>
      <c r="D84" s="26">
        <v>15.0</v>
      </c>
      <c r="E84" s="26">
        <v>-11.0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>
      <c r="A85" s="28" t="s">
        <v>335</v>
      </c>
      <c r="B85" s="26" t="s">
        <v>65</v>
      </c>
      <c r="C85" s="26">
        <v>0.0</v>
      </c>
      <c r="D85" s="26">
        <v>5.0</v>
      </c>
      <c r="E85" s="26">
        <v>-5.0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>
      <c r="A86" s="28" t="s">
        <v>336</v>
      </c>
      <c r="B86" s="26" t="s">
        <v>14</v>
      </c>
      <c r="C86" s="26">
        <v>12.0</v>
      </c>
      <c r="D86" s="26">
        <v>0.0</v>
      </c>
      <c r="E86" s="26">
        <v>12.0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>
      <c r="A87" s="28" t="s">
        <v>337</v>
      </c>
      <c r="B87" s="26" t="s">
        <v>65</v>
      </c>
      <c r="C87" s="26">
        <v>2.0</v>
      </c>
      <c r="D87" s="26">
        <v>8.0</v>
      </c>
      <c r="E87" s="26">
        <v>-6.0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>
      <c r="A88" s="28" t="s">
        <v>338</v>
      </c>
      <c r="B88" s="26" t="s">
        <v>14</v>
      </c>
      <c r="C88" s="26">
        <v>11.0</v>
      </c>
      <c r="D88" s="26">
        <v>6.0</v>
      </c>
      <c r="E88" s="26">
        <v>5.0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>
      <c r="A89" s="28" t="s">
        <v>339</v>
      </c>
      <c r="B89" s="26" t="s">
        <v>65</v>
      </c>
      <c r="C89" s="26">
        <v>4.0</v>
      </c>
      <c r="D89" s="26">
        <v>13.0</v>
      </c>
      <c r="E89" s="26">
        <v>-9.0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>
      <c r="A90" s="28" t="s">
        <v>340</v>
      </c>
      <c r="B90" s="26" t="s">
        <v>14</v>
      </c>
      <c r="C90" s="26">
        <v>7.0</v>
      </c>
      <c r="D90" s="26">
        <v>2.0</v>
      </c>
      <c r="E90" s="26">
        <v>5.0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>
      <c r="A91" s="28" t="s">
        <v>341</v>
      </c>
      <c r="B91" s="26" t="s">
        <v>14</v>
      </c>
      <c r="C91" s="26">
        <v>6.0</v>
      </c>
      <c r="D91" s="26">
        <v>0.0</v>
      </c>
      <c r="E91" s="26">
        <v>6.0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>
      <c r="A92" s="28" t="s">
        <v>342</v>
      </c>
      <c r="B92" s="26" t="s">
        <v>14</v>
      </c>
      <c r="C92" s="26">
        <v>10.0</v>
      </c>
      <c r="D92" s="26">
        <v>3.0</v>
      </c>
      <c r="E92" s="26">
        <v>7.0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>
      <c r="A93" s="28" t="s">
        <v>343</v>
      </c>
      <c r="B93" s="26" t="s">
        <v>14</v>
      </c>
      <c r="C93" s="26">
        <v>6.0</v>
      </c>
      <c r="D93" s="26">
        <v>4.0</v>
      </c>
      <c r="E93" s="26">
        <v>2.0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>
      <c r="A94" s="30" t="s">
        <v>344</v>
      </c>
      <c r="B94" s="31" t="s">
        <v>65</v>
      </c>
      <c r="C94" s="31">
        <v>2.0</v>
      </c>
      <c r="D94" s="31">
        <v>6.0</v>
      </c>
      <c r="E94" s="31">
        <v>-4.0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>
      <c r="A95" s="32" t="s">
        <v>149</v>
      </c>
      <c r="B95" s="51"/>
      <c r="C95" s="52">
        <v>195.0</v>
      </c>
      <c r="D95" s="52">
        <v>135.0</v>
      </c>
      <c r="E95" s="52">
        <v>60.0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>
      <c r="A96" s="5"/>
      <c r="B96" s="5"/>
      <c r="C96" s="5"/>
      <c r="D96" s="5"/>
      <c r="E96" s="5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>
      <c r="A97" s="5"/>
      <c r="B97" s="5"/>
      <c r="C97" s="5"/>
      <c r="D97" s="5"/>
      <c r="E97" s="5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</row>
  </sheetData>
  <mergeCells count="8">
    <mergeCell ref="B6:AE6"/>
    <mergeCell ref="G8:U8"/>
    <mergeCell ref="W8:AE8"/>
    <mergeCell ref="B63:AE63"/>
    <mergeCell ref="G65:U65"/>
    <mergeCell ref="W65:AE65"/>
    <mergeCell ref="AF74:AH74"/>
    <mergeCell ref="AF76:AQ76"/>
  </mergeCells>
  <hyperlinks>
    <hyperlink r:id="rId1" ref="A4"/>
  </hyperlinks>
  <drawing r:id="rId2"/>
</worksheet>
</file>